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5926407D-88CD-43D1-B452-77704B5D57EA}" xr6:coauthVersionLast="47" xr6:coauthVersionMax="47" xr10:uidLastSave="{00000000-0000-0000-0000-000000000000}"/>
  <bookViews>
    <workbookView xWindow="28692" yWindow="-4944" windowWidth="29016" windowHeight="15816" tabRatio="500" firstSheet="1" activeTab="1" xr2:uid="{00000000-000D-0000-FFFF-FFFF00000000}"/>
  </bookViews>
  <sheets>
    <sheet name="SheetNames" sheetId="52" state="hidden" r:id="rId1"/>
    <sheet name="backend" sheetId="51" r:id="rId2"/>
    <sheet name="Cuentas" sheetId="2" r:id="rId3"/>
    <sheet name="Sumaria Ingresos" sheetId="1" r:id="rId4"/>
    <sheet name="1 Ingresos Acum &amp; No Acum" sheetId="3" state="hidden"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r:id="rId14"/>
    <sheet name="Ganancias Cambiarias - Contrato" sheetId="7" r:id="rId15"/>
    <sheet name="AAI" sheetId="49" state="hidden" r:id="rId16"/>
    <sheet name="Saldos Cash" sheetId="8" state="hidden"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state="hidden"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Cuentas!$B$1:$D$16</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percibidos'!$B$2:$K$32</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Retenciones'!$B$2:$K$30</definedName>
    <definedName name="_xlnm.Print_Area" localSheetId="21">'Reducciones de Capital'!$B$2:$J$47</definedName>
    <definedName name="_xlnm.Print_Area" localSheetId="16">'Saldos Cash'!$A$10:$N$105,'Saldos Cash'!$A$108:$N$143</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47" i="10" l="1"/>
  <c r="Q47" i="10"/>
  <c r="O47" i="10"/>
  <c r="M47" i="10"/>
  <c r="I47" i="10"/>
  <c r="H47" i="10"/>
  <c r="F47" i="10"/>
  <c r="R35" i="10"/>
  <c r="R36" i="10"/>
  <c r="R37" i="10"/>
  <c r="R38" i="10"/>
  <c r="R39" i="10"/>
  <c r="R40" i="10"/>
  <c r="R41" i="10"/>
  <c r="R42" i="10"/>
  <c r="R43" i="10"/>
  <c r="R44" i="10"/>
  <c r="R45" i="10"/>
  <c r="Q35" i="10"/>
  <c r="Q36" i="10"/>
  <c r="Q37" i="10"/>
  <c r="Q38" i="10"/>
  <c r="Q39" i="10"/>
  <c r="Q40" i="10"/>
  <c r="Q41" i="10"/>
  <c r="Q42" i="10"/>
  <c r="Q43" i="10"/>
  <c r="R48" i="10" s="1"/>
  <c r="Q44" i="10"/>
  <c r="Q45" i="10"/>
  <c r="O35" i="10"/>
  <c r="O36" i="10"/>
  <c r="O37" i="10"/>
  <c r="O38" i="10"/>
  <c r="O39" i="10"/>
  <c r="O40" i="10"/>
  <c r="O41" i="10"/>
  <c r="O42" i="10"/>
  <c r="O43" i="10"/>
  <c r="O44" i="10"/>
  <c r="O45" i="10"/>
  <c r="M35" i="10"/>
  <c r="M36" i="10"/>
  <c r="M37" i="10"/>
  <c r="M38" i="10"/>
  <c r="M39" i="10"/>
  <c r="M40" i="10"/>
  <c r="M41" i="10"/>
  <c r="M42" i="10"/>
  <c r="M43" i="10"/>
  <c r="M44" i="10"/>
  <c r="M45" i="10"/>
  <c r="I35" i="10"/>
  <c r="I36" i="10"/>
  <c r="I37" i="10"/>
  <c r="I38" i="10"/>
  <c r="I39" i="10"/>
  <c r="I40" i="10"/>
  <c r="I41" i="10"/>
  <c r="I42" i="10"/>
  <c r="I43" i="10"/>
  <c r="I44" i="10"/>
  <c r="I45" i="10"/>
  <c r="H35" i="10"/>
  <c r="H36" i="10"/>
  <c r="H37" i="10"/>
  <c r="H38" i="10"/>
  <c r="H39" i="10"/>
  <c r="H40" i="10"/>
  <c r="H41" i="10"/>
  <c r="H42" i="10"/>
  <c r="H43" i="10"/>
  <c r="H44" i="10"/>
  <c r="H45" i="10"/>
  <c r="F35" i="10"/>
  <c r="F36" i="10"/>
  <c r="F37" i="10"/>
  <c r="F38" i="10"/>
  <c r="F39" i="10"/>
  <c r="F40" i="10"/>
  <c r="F41" i="10"/>
  <c r="F42" i="10"/>
  <c r="F43" i="10"/>
  <c r="F44" i="10"/>
  <c r="F45" i="10"/>
  <c r="E35" i="10"/>
  <c r="E36" i="10"/>
  <c r="E37" i="10"/>
  <c r="E38" i="10"/>
  <c r="E39" i="10"/>
  <c r="E40" i="10"/>
  <c r="E41" i="10"/>
  <c r="E42" i="10"/>
  <c r="E43" i="10"/>
  <c r="E44" i="10"/>
  <c r="E45" i="10"/>
  <c r="J33" i="45"/>
  <c r="G33" i="45"/>
  <c r="J21" i="45"/>
  <c r="J22" i="45"/>
  <c r="J23" i="45"/>
  <c r="J24" i="45"/>
  <c r="J25" i="45"/>
  <c r="J26" i="45"/>
  <c r="J27" i="45"/>
  <c r="J28" i="45"/>
  <c r="J29" i="45"/>
  <c r="J30" i="45"/>
  <c r="J31" i="45"/>
  <c r="G21" i="45"/>
  <c r="G22" i="45"/>
  <c r="G23" i="45"/>
  <c r="G24" i="45"/>
  <c r="G25" i="45"/>
  <c r="G26" i="45"/>
  <c r="G27" i="45"/>
  <c r="G28" i="45"/>
  <c r="G29" i="45"/>
  <c r="G30" i="45"/>
  <c r="G31" i="45"/>
  <c r="F21" i="45"/>
  <c r="F22" i="45"/>
  <c r="F23" i="45"/>
  <c r="F24" i="45"/>
  <c r="F25" i="45"/>
  <c r="F26" i="45"/>
  <c r="F27" i="45"/>
  <c r="F28" i="45"/>
  <c r="F29" i="45"/>
  <c r="F30" i="45"/>
  <c r="F31" i="45"/>
  <c r="J33" i="44"/>
  <c r="G33" i="44"/>
  <c r="J21" i="44"/>
  <c r="J22" i="44"/>
  <c r="J23" i="44"/>
  <c r="J24" i="44"/>
  <c r="J25" i="44"/>
  <c r="J26" i="44"/>
  <c r="J27" i="44"/>
  <c r="J28" i="44"/>
  <c r="J29" i="44"/>
  <c r="J30" i="44"/>
  <c r="J31" i="44"/>
  <c r="G21" i="44"/>
  <c r="G22" i="44"/>
  <c r="G23" i="44"/>
  <c r="G24" i="44"/>
  <c r="G25" i="44"/>
  <c r="G26" i="44"/>
  <c r="G27" i="44"/>
  <c r="G28" i="44"/>
  <c r="G29" i="44"/>
  <c r="G30" i="44"/>
  <c r="G31" i="44"/>
  <c r="F21" i="44"/>
  <c r="F22" i="44"/>
  <c r="F23" i="44"/>
  <c r="F24" i="44"/>
  <c r="F25" i="44"/>
  <c r="F26" i="44"/>
  <c r="F27" i="44"/>
  <c r="F28" i="44"/>
  <c r="F29" i="44"/>
  <c r="F30" i="44"/>
  <c r="F31" i="44"/>
  <c r="J47" i="47"/>
  <c r="G47" i="47"/>
  <c r="J35" i="47"/>
  <c r="J36" i="47"/>
  <c r="J37" i="47"/>
  <c r="J38" i="47"/>
  <c r="J39" i="47"/>
  <c r="J40" i="47"/>
  <c r="J41" i="47"/>
  <c r="J42" i="47"/>
  <c r="J43" i="47"/>
  <c r="J44" i="47"/>
  <c r="J45" i="47"/>
  <c r="G35" i="47"/>
  <c r="G36" i="47"/>
  <c r="G37" i="47"/>
  <c r="G38" i="47"/>
  <c r="G39" i="47"/>
  <c r="G40" i="47"/>
  <c r="G41" i="47"/>
  <c r="G42" i="47"/>
  <c r="G43" i="47"/>
  <c r="G44" i="47"/>
  <c r="G45" i="47"/>
  <c r="F35" i="47"/>
  <c r="F36" i="47"/>
  <c r="F37" i="47"/>
  <c r="F38" i="47"/>
  <c r="F39" i="47"/>
  <c r="F40" i="47"/>
  <c r="F41" i="47"/>
  <c r="F42" i="47"/>
  <c r="F43" i="47"/>
  <c r="F44" i="47"/>
  <c r="F45" i="47"/>
  <c r="K35" i="15"/>
  <c r="I35" i="15"/>
  <c r="G35" i="15"/>
  <c r="K23" i="15"/>
  <c r="K24" i="15"/>
  <c r="K25" i="15"/>
  <c r="K26" i="15"/>
  <c r="K27" i="15"/>
  <c r="K28" i="15"/>
  <c r="K29" i="15"/>
  <c r="K30" i="15"/>
  <c r="K31" i="15"/>
  <c r="K32" i="15"/>
  <c r="K33" i="15"/>
  <c r="I23" i="15"/>
  <c r="I24" i="15"/>
  <c r="I25" i="15"/>
  <c r="I26" i="15"/>
  <c r="I27" i="15"/>
  <c r="I28" i="15"/>
  <c r="I29" i="15"/>
  <c r="I30" i="15"/>
  <c r="I31" i="15"/>
  <c r="I32" i="15"/>
  <c r="I33" i="15"/>
  <c r="G23" i="15"/>
  <c r="G24" i="15"/>
  <c r="G25" i="15"/>
  <c r="G26" i="15"/>
  <c r="G27" i="15"/>
  <c r="G28" i="15"/>
  <c r="G29" i="15"/>
  <c r="G30" i="15"/>
  <c r="G31" i="15"/>
  <c r="G32" i="15"/>
  <c r="G33" i="15"/>
  <c r="F23" i="15"/>
  <c r="F24" i="15"/>
  <c r="F25" i="15"/>
  <c r="F26" i="15"/>
  <c r="F27" i="15"/>
  <c r="F28" i="15"/>
  <c r="F29" i="15"/>
  <c r="F30" i="15"/>
  <c r="F31" i="15"/>
  <c r="F32" i="15"/>
  <c r="F33" i="15"/>
  <c r="K32" i="40"/>
  <c r="I32" i="40"/>
  <c r="G32" i="40"/>
  <c r="K20" i="40"/>
  <c r="K21" i="40"/>
  <c r="K22" i="40"/>
  <c r="K23" i="40"/>
  <c r="K24" i="40"/>
  <c r="K25" i="40"/>
  <c r="K26" i="40"/>
  <c r="K27" i="40"/>
  <c r="K28" i="40"/>
  <c r="K29" i="40"/>
  <c r="K30" i="40"/>
  <c r="I20" i="40"/>
  <c r="I21" i="40"/>
  <c r="I22" i="40"/>
  <c r="I23" i="40"/>
  <c r="I24" i="40"/>
  <c r="I25" i="40"/>
  <c r="I26" i="40"/>
  <c r="I27" i="40"/>
  <c r="I28" i="40"/>
  <c r="I29" i="40"/>
  <c r="I30" i="40"/>
  <c r="G20" i="40"/>
  <c r="G21" i="40"/>
  <c r="G22" i="40"/>
  <c r="G23" i="40"/>
  <c r="G24" i="40"/>
  <c r="G25" i="40"/>
  <c r="G26" i="40"/>
  <c r="G27" i="40"/>
  <c r="G28" i="40"/>
  <c r="G29" i="40"/>
  <c r="G30" i="40"/>
  <c r="F20" i="40"/>
  <c r="F21" i="40"/>
  <c r="F22" i="40"/>
  <c r="F23" i="40"/>
  <c r="F24" i="40"/>
  <c r="F25" i="40"/>
  <c r="F26" i="40"/>
  <c r="F27" i="40"/>
  <c r="F28" i="40"/>
  <c r="F29" i="40"/>
  <c r="F30" i="40"/>
  <c r="K32" i="13"/>
  <c r="I32" i="13"/>
  <c r="G32" i="13"/>
  <c r="K20" i="13"/>
  <c r="K21" i="13"/>
  <c r="K22" i="13"/>
  <c r="K23" i="13"/>
  <c r="K24" i="13"/>
  <c r="K25" i="13"/>
  <c r="K26" i="13"/>
  <c r="K27" i="13"/>
  <c r="K28" i="13"/>
  <c r="K29" i="13"/>
  <c r="K30" i="13"/>
  <c r="I20" i="13"/>
  <c r="I21" i="13"/>
  <c r="I22" i="13"/>
  <c r="I23" i="13"/>
  <c r="I24" i="13"/>
  <c r="I25" i="13"/>
  <c r="I26" i="13"/>
  <c r="I27" i="13"/>
  <c r="I28" i="13"/>
  <c r="I29" i="13"/>
  <c r="I30" i="13"/>
  <c r="G20" i="13"/>
  <c r="G21" i="13"/>
  <c r="G22" i="13"/>
  <c r="G23" i="13"/>
  <c r="G24" i="13"/>
  <c r="G25" i="13"/>
  <c r="G26" i="13"/>
  <c r="G27" i="13"/>
  <c r="G28" i="13"/>
  <c r="G29" i="13"/>
  <c r="G30" i="13"/>
  <c r="F20" i="13"/>
  <c r="F21" i="13"/>
  <c r="F22" i="13"/>
  <c r="F23" i="13"/>
  <c r="F24" i="13"/>
  <c r="F25" i="13"/>
  <c r="F26" i="13"/>
  <c r="F27" i="13"/>
  <c r="F28" i="13"/>
  <c r="F29" i="13"/>
  <c r="F30" i="13"/>
  <c r="K36" i="39"/>
  <c r="I36" i="39"/>
  <c r="G36" i="39"/>
  <c r="K24" i="39"/>
  <c r="K25" i="39"/>
  <c r="K26" i="39"/>
  <c r="K27" i="39"/>
  <c r="K28" i="39"/>
  <c r="K29" i="39"/>
  <c r="K30" i="39"/>
  <c r="K31" i="39"/>
  <c r="K32" i="39"/>
  <c r="K33" i="39"/>
  <c r="K34" i="39"/>
  <c r="I24" i="39"/>
  <c r="I25" i="39"/>
  <c r="I26" i="39"/>
  <c r="I27" i="39"/>
  <c r="I28" i="39"/>
  <c r="I29" i="39"/>
  <c r="I30" i="39"/>
  <c r="I31" i="39"/>
  <c r="I32" i="39"/>
  <c r="I33" i="39"/>
  <c r="I34" i="39"/>
  <c r="G24" i="39"/>
  <c r="G25" i="39"/>
  <c r="G26" i="39"/>
  <c r="G27" i="39"/>
  <c r="G28" i="39"/>
  <c r="G29" i="39"/>
  <c r="G30" i="39"/>
  <c r="G31" i="39"/>
  <c r="G32" i="39"/>
  <c r="G33" i="39"/>
  <c r="G34" i="39"/>
  <c r="F24" i="39"/>
  <c r="F25" i="39"/>
  <c r="F26" i="39"/>
  <c r="F27" i="39"/>
  <c r="F28" i="39"/>
  <c r="F29" i="39"/>
  <c r="F30" i="39"/>
  <c r="F31" i="39"/>
  <c r="F32" i="39"/>
  <c r="F33" i="39"/>
  <c r="F34" i="39"/>
  <c r="K47" i="11"/>
  <c r="I47" i="11"/>
  <c r="G47" i="11"/>
  <c r="K35" i="11"/>
  <c r="K36" i="11"/>
  <c r="K37" i="11"/>
  <c r="K38" i="11"/>
  <c r="K39" i="11"/>
  <c r="K40" i="11"/>
  <c r="K41" i="11"/>
  <c r="K42" i="11"/>
  <c r="K43" i="11"/>
  <c r="K44" i="11"/>
  <c r="K45" i="11"/>
  <c r="I35" i="11"/>
  <c r="I36" i="11"/>
  <c r="I37" i="11"/>
  <c r="I38" i="11"/>
  <c r="I39" i="11"/>
  <c r="I40" i="11"/>
  <c r="I41" i="11"/>
  <c r="I42" i="11"/>
  <c r="I43" i="11"/>
  <c r="I44" i="11"/>
  <c r="I45" i="11"/>
  <c r="G35" i="11"/>
  <c r="G36" i="11"/>
  <c r="G37" i="11"/>
  <c r="G38" i="11"/>
  <c r="G39" i="11"/>
  <c r="G40" i="11"/>
  <c r="G41" i="11"/>
  <c r="G42" i="11"/>
  <c r="G43" i="11"/>
  <c r="G44" i="11"/>
  <c r="G45" i="11"/>
  <c r="F35" i="11"/>
  <c r="F36" i="11"/>
  <c r="F37" i="11"/>
  <c r="F38" i="11"/>
  <c r="F39" i="11"/>
  <c r="F40" i="11"/>
  <c r="F41" i="11"/>
  <c r="F42" i="11"/>
  <c r="F43" i="11"/>
  <c r="F44" i="11"/>
  <c r="F45" i="11"/>
  <c r="K32" i="14"/>
  <c r="I32" i="14"/>
  <c r="G32" i="14"/>
  <c r="K20" i="14"/>
  <c r="K21" i="14"/>
  <c r="K22" i="14"/>
  <c r="K23" i="14"/>
  <c r="K24" i="14"/>
  <c r="K25" i="14"/>
  <c r="K26" i="14"/>
  <c r="K27" i="14"/>
  <c r="K28" i="14"/>
  <c r="K29" i="14"/>
  <c r="K30" i="14"/>
  <c r="I20" i="14"/>
  <c r="I21" i="14"/>
  <c r="I22" i="14"/>
  <c r="I23" i="14"/>
  <c r="I24" i="14"/>
  <c r="I25" i="14"/>
  <c r="I26" i="14"/>
  <c r="I27" i="14"/>
  <c r="I28" i="14"/>
  <c r="I29" i="14"/>
  <c r="I30" i="14"/>
  <c r="G20" i="14"/>
  <c r="G21" i="14"/>
  <c r="G22" i="14"/>
  <c r="G23" i="14"/>
  <c r="G24" i="14"/>
  <c r="G25" i="14"/>
  <c r="G26" i="14"/>
  <c r="G27" i="14"/>
  <c r="G28" i="14"/>
  <c r="G29" i="14"/>
  <c r="G30" i="14"/>
  <c r="F20" i="14"/>
  <c r="F21" i="14"/>
  <c r="F22" i="14"/>
  <c r="F23" i="14"/>
  <c r="F24" i="14"/>
  <c r="F25" i="14"/>
  <c r="F26" i="14"/>
  <c r="F27" i="14"/>
  <c r="F28" i="14"/>
  <c r="F29" i="14"/>
  <c r="F30" i="14"/>
  <c r="K33" i="7"/>
  <c r="I33" i="7"/>
  <c r="G33" i="7"/>
  <c r="K21" i="7"/>
  <c r="K22" i="7"/>
  <c r="K23" i="7"/>
  <c r="K24" i="7"/>
  <c r="K25" i="7"/>
  <c r="K26" i="7"/>
  <c r="K27" i="7"/>
  <c r="K28" i="7"/>
  <c r="K29" i="7"/>
  <c r="K30" i="7"/>
  <c r="K31" i="7"/>
  <c r="I21" i="7"/>
  <c r="I22" i="7"/>
  <c r="I23" i="7"/>
  <c r="I24" i="7"/>
  <c r="I25" i="7"/>
  <c r="I26" i="7"/>
  <c r="I27" i="7"/>
  <c r="I28" i="7"/>
  <c r="I29" i="7"/>
  <c r="I30" i="7"/>
  <c r="I31" i="7"/>
  <c r="G21" i="7"/>
  <c r="G22" i="7"/>
  <c r="G23" i="7"/>
  <c r="G24" i="7"/>
  <c r="G25" i="7"/>
  <c r="G26" i="7"/>
  <c r="G27" i="7"/>
  <c r="G28" i="7"/>
  <c r="G29" i="7"/>
  <c r="G30" i="7"/>
  <c r="G31" i="7"/>
  <c r="F21" i="7"/>
  <c r="F22" i="7"/>
  <c r="F23" i="7"/>
  <c r="F24" i="7"/>
  <c r="F25" i="7"/>
  <c r="F26" i="7"/>
  <c r="F27" i="7"/>
  <c r="F28" i="7"/>
  <c r="F29" i="7"/>
  <c r="F30" i="7"/>
  <c r="F31" i="7"/>
  <c r="K32" i="6"/>
  <c r="I32" i="6"/>
  <c r="G32" i="6"/>
  <c r="K20" i="6"/>
  <c r="K21" i="6"/>
  <c r="K22" i="6"/>
  <c r="K23" i="6"/>
  <c r="K24" i="6"/>
  <c r="K25" i="6"/>
  <c r="K26" i="6"/>
  <c r="K27" i="6"/>
  <c r="K28" i="6"/>
  <c r="K29" i="6"/>
  <c r="K30" i="6"/>
  <c r="I20" i="6"/>
  <c r="I21" i="6"/>
  <c r="I22" i="6"/>
  <c r="I23" i="6"/>
  <c r="I24" i="6"/>
  <c r="I25" i="6"/>
  <c r="I26" i="6"/>
  <c r="I27" i="6"/>
  <c r="I28" i="6"/>
  <c r="I29" i="6"/>
  <c r="I30" i="6"/>
  <c r="G20" i="6"/>
  <c r="G21" i="6"/>
  <c r="G22" i="6"/>
  <c r="G23" i="6"/>
  <c r="G24" i="6"/>
  <c r="G25" i="6"/>
  <c r="G26" i="6"/>
  <c r="G27" i="6"/>
  <c r="G28" i="6"/>
  <c r="G29" i="6"/>
  <c r="G30" i="6"/>
  <c r="F20" i="6"/>
  <c r="F21" i="6"/>
  <c r="F22" i="6"/>
  <c r="F23" i="6"/>
  <c r="F24" i="6"/>
  <c r="F25" i="6"/>
  <c r="F26" i="6"/>
  <c r="F27" i="6"/>
  <c r="F28" i="6"/>
  <c r="F29" i="6"/>
  <c r="F30" i="6"/>
  <c r="K32" i="5"/>
  <c r="I32" i="5"/>
  <c r="G32" i="5"/>
  <c r="K20" i="5"/>
  <c r="K21" i="5"/>
  <c r="K22" i="5"/>
  <c r="K23" i="5"/>
  <c r="K24" i="5"/>
  <c r="K25" i="5"/>
  <c r="K26" i="5"/>
  <c r="K27" i="5"/>
  <c r="K28" i="5"/>
  <c r="K29" i="5"/>
  <c r="K30" i="5"/>
  <c r="I20" i="5"/>
  <c r="I21" i="5"/>
  <c r="I22" i="5"/>
  <c r="I23" i="5"/>
  <c r="I24" i="5"/>
  <c r="I25" i="5"/>
  <c r="I26" i="5"/>
  <c r="I27" i="5"/>
  <c r="I28" i="5"/>
  <c r="I29" i="5"/>
  <c r="I30" i="5"/>
  <c r="G20" i="5"/>
  <c r="G21" i="5"/>
  <c r="G22" i="5"/>
  <c r="G23" i="5"/>
  <c r="G24" i="5"/>
  <c r="G25" i="5"/>
  <c r="G26" i="5"/>
  <c r="G27" i="5"/>
  <c r="G28" i="5"/>
  <c r="G29" i="5"/>
  <c r="G30" i="5"/>
  <c r="F20" i="5"/>
  <c r="F21" i="5"/>
  <c r="F22" i="5"/>
  <c r="F23" i="5"/>
  <c r="F24" i="5"/>
  <c r="F25" i="5"/>
  <c r="F26" i="5"/>
  <c r="F27" i="5"/>
  <c r="F28" i="5"/>
  <c r="F29" i="5"/>
  <c r="F30" i="5"/>
  <c r="R46" i="10"/>
  <c r="M17" i="51"/>
  <c r="M16" i="51"/>
  <c r="M15" i="51"/>
  <c r="M14" i="51"/>
  <c r="M13" i="51"/>
  <c r="M12" i="51"/>
  <c r="M11" i="51"/>
  <c r="M10" i="51"/>
  <c r="M9" i="51"/>
  <c r="M8" i="51"/>
  <c r="M7" i="51"/>
  <c r="M6" i="51"/>
  <c r="M5" i="51"/>
  <c r="M18" i="51" l="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R16" i="49"/>
  <c r="I20" i="49"/>
  <c r="R17" i="49"/>
  <c r="I19" i="49"/>
  <c r="R11" i="49"/>
  <c r="I14" i="49"/>
  <c r="R13" i="49"/>
  <c r="R14" i="49"/>
  <c r="I15" i="49"/>
  <c r="R12" i="49"/>
  <c r="I16" i="49"/>
  <c r="R15" i="49"/>
  <c r="R18"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K154" i="27" s="1"/>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J8" i="5"/>
  <c r="H9" i="5"/>
  <c r="I9" i="5" s="1"/>
  <c r="J9" i="5"/>
  <c r="H10" i="5"/>
  <c r="I10" i="5" s="1"/>
  <c r="J10" i="5"/>
  <c r="H11" i="5"/>
  <c r="I11" i="5" s="1"/>
  <c r="J11" i="5"/>
  <c r="H12" i="5"/>
  <c r="I12" i="5" s="1"/>
  <c r="J12" i="5"/>
  <c r="H13" i="5"/>
  <c r="I13" i="5" s="1"/>
  <c r="J13" i="5"/>
  <c r="H8" i="6"/>
  <c r="I8" i="6" s="1"/>
  <c r="J8" i="6"/>
  <c r="H9" i="6"/>
  <c r="I9" i="6" s="1"/>
  <c r="J9" i="6"/>
  <c r="H10" i="6"/>
  <c r="I10" i="6" s="1"/>
  <c r="J10" i="6"/>
  <c r="H11" i="6"/>
  <c r="I11" i="6" s="1"/>
  <c r="J11" i="6"/>
  <c r="H12" i="6"/>
  <c r="I12" i="6" s="1"/>
  <c r="J12" i="6"/>
  <c r="H13" i="6"/>
  <c r="I13" i="6" s="1"/>
  <c r="J13" i="6"/>
  <c r="K13" i="6" s="1"/>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J14" i="39"/>
  <c r="K14" i="39" s="1"/>
  <c r="H14" i="39"/>
  <c r="H10" i="39"/>
  <c r="I10" i="39" s="1"/>
  <c r="J10" i="39"/>
  <c r="H13" i="39"/>
  <c r="I13" i="39" s="1"/>
  <c r="J13" i="39"/>
  <c r="H11" i="39"/>
  <c r="I11" i="39" s="1"/>
  <c r="J11" i="39"/>
  <c r="BR22" i="18"/>
  <c r="BR20" i="18"/>
  <c r="H10" i="45"/>
  <c r="H26" i="47"/>
  <c r="H8" i="45"/>
  <c r="J8" i="45" s="1"/>
  <c r="I8" i="45"/>
  <c r="H9" i="45"/>
  <c r="I9" i="45"/>
  <c r="I10" i="45"/>
  <c r="H11" i="45"/>
  <c r="I11" i="45"/>
  <c r="H12" i="45"/>
  <c r="I12" i="45"/>
  <c r="H13" i="45"/>
  <c r="I13" i="45"/>
  <c r="H14" i="45"/>
  <c r="I14" i="45"/>
  <c r="H8" i="44"/>
  <c r="I8" i="44"/>
  <c r="J8" i="44" s="1"/>
  <c r="H9" i="44"/>
  <c r="I9" i="44"/>
  <c r="H10" i="44"/>
  <c r="I10" i="44"/>
  <c r="H11" i="44"/>
  <c r="I11" i="44"/>
  <c r="H12" i="44"/>
  <c r="I12" i="44"/>
  <c r="H13" i="44"/>
  <c r="I13" i="44"/>
  <c r="J13" i="44" s="1"/>
  <c r="H14" i="44"/>
  <c r="I14" i="44"/>
  <c r="O38" i="3"/>
  <c r="O39" i="3"/>
  <c r="H9" i="47"/>
  <c r="I9" i="47"/>
  <c r="H10" i="47"/>
  <c r="I10" i="47"/>
  <c r="H11" i="47"/>
  <c r="I11" i="47"/>
  <c r="H12" i="47"/>
  <c r="I12" i="47"/>
  <c r="H13" i="47"/>
  <c r="I13" i="47"/>
  <c r="H14" i="47"/>
  <c r="I14" i="47"/>
  <c r="H15" i="47"/>
  <c r="J15" i="47" s="1"/>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G15" i="13"/>
  <c r="J8" i="13"/>
  <c r="J9" i="13"/>
  <c r="J10" i="13"/>
  <c r="J11" i="13"/>
  <c r="J12" i="13"/>
  <c r="J13" i="13"/>
  <c r="J13" i="40"/>
  <c r="H13" i="40"/>
  <c r="I13" i="40" s="1"/>
  <c r="J12" i="40"/>
  <c r="H12" i="40"/>
  <c r="I12" i="40" s="1"/>
  <c r="J11" i="40"/>
  <c r="H11" i="40"/>
  <c r="I11" i="40" s="1"/>
  <c r="J10" i="40"/>
  <c r="H10" i="40"/>
  <c r="I10" i="40" s="1"/>
  <c r="H9" i="40"/>
  <c r="I9" i="40" s="1"/>
  <c r="J8" i="40"/>
  <c r="H8" i="40"/>
  <c r="I8" i="40" s="1"/>
  <c r="G19" i="39"/>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3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H30" i="10"/>
  <c r="M9" i="10"/>
  <c r="P9" i="10" s="1"/>
  <c r="N9" i="10"/>
  <c r="Q9" i="10" s="1"/>
  <c r="M8" i="10"/>
  <c r="N8" i="10"/>
  <c r="Q8" i="10" s="1"/>
  <c r="L143" i="8"/>
  <c r="L67" i="8"/>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N15" i="8"/>
  <c r="D6" i="9" s="1"/>
  <c r="D8" i="9" s="1"/>
  <c r="D10" i="9" s="1"/>
  <c r="K25" i="3" s="1"/>
  <c r="L86" i="8"/>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FG5" i="19"/>
  <c r="FH5" i="19"/>
  <c r="FI5" i="19"/>
  <c r="FJ5" i="19"/>
  <c r="FK5" i="19"/>
  <c r="FL5" i="19"/>
  <c r="FM5" i="19"/>
  <c r="FN5" i="19"/>
  <c r="FO5" i="19"/>
  <c r="FP5" i="19"/>
  <c r="FQ5" i="19"/>
  <c r="FR5" i="19"/>
  <c r="EP5" i="19"/>
  <c r="AC470" i="35"/>
  <c r="AC405" i="35"/>
  <c r="AC6" i="35"/>
  <c r="AC80" i="35"/>
  <c r="AC64" i="35"/>
  <c r="AC154" i="35"/>
  <c r="D13" i="49"/>
  <c r="F13" i="49" s="1"/>
  <c r="H37" i="49" s="1"/>
  <c r="I37" i="49" s="1"/>
  <c r="D19" i="49"/>
  <c r="H19" i="49" s="1"/>
  <c r="J19" i="49" s="1"/>
  <c r="D12" i="49"/>
  <c r="F12" i="49" s="1"/>
  <c r="H36" i="49" s="1"/>
  <c r="I36" i="49" s="1"/>
  <c r="D15" i="49"/>
  <c r="Q15" i="49" s="1"/>
  <c r="U15" i="49" s="1"/>
  <c r="W15" i="49" s="1"/>
  <c r="AC337" i="35"/>
  <c r="D18" i="49"/>
  <c r="Q18" i="49" s="1"/>
  <c r="U18" i="49" s="1"/>
  <c r="W18" i="49" s="1"/>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K14" i="7"/>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AC390" i="35"/>
  <c r="K12" i="6"/>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AC348" i="35"/>
  <c r="AC304" i="35"/>
  <c r="AC295" i="35"/>
  <c r="AC245" i="35"/>
  <c r="AC177" i="35"/>
  <c r="AC165" i="35"/>
  <c r="K10" i="5"/>
  <c r="AC273" i="35"/>
  <c r="AC256" i="35"/>
  <c r="AC241" i="35"/>
  <c r="AC288" i="35"/>
  <c r="AC266" i="35"/>
  <c r="AC262" i="35"/>
  <c r="AC229" i="35"/>
  <c r="AC92" i="35"/>
  <c r="AC44" i="35"/>
  <c r="AC26" i="35"/>
  <c r="AC10" i="35"/>
  <c r="AC8" i="35"/>
  <c r="K9"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120" i="48"/>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I95" i="48" l="1"/>
  <c r="J95" i="48" s="1"/>
  <c r="L95" i="48" s="1"/>
  <c r="Q19" i="49"/>
  <c r="U19" i="49" s="1"/>
  <c r="W19" i="49" s="1"/>
  <c r="G154" i="27"/>
  <c r="J154" i="27"/>
  <c r="O150" i="27"/>
  <c r="L124" i="8"/>
  <c r="L105" i="8"/>
  <c r="F15" i="49"/>
  <c r="H39" i="49" s="1"/>
  <c r="I39" i="49" s="1"/>
  <c r="D20" i="49"/>
  <c r="H20" i="49" s="1"/>
  <c r="J20" i="49" s="1"/>
  <c r="D21" i="49"/>
  <c r="F21" i="49" s="1"/>
  <c r="H45" i="49" s="1"/>
  <c r="I45" i="49" s="1"/>
  <c r="L48" i="8"/>
  <c r="H15" i="49"/>
  <c r="J15" i="49" s="1"/>
  <c r="D10" i="49"/>
  <c r="Q10" i="49" s="1"/>
  <c r="U10" i="49" s="1"/>
  <c r="W10" i="49" s="1"/>
  <c r="D16" i="49"/>
  <c r="F16" i="49" s="1"/>
  <c r="H40" i="49" s="1"/>
  <c r="I40" i="49" s="1"/>
  <c r="L29" i="8"/>
  <c r="F18" i="49"/>
  <c r="H42" i="49" s="1"/>
  <c r="I42" i="49" s="1"/>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13" i="45"/>
  <c r="K27" i="11"/>
  <c r="K11" i="40"/>
  <c r="K13" i="40"/>
  <c r="AL500" i="16"/>
  <c r="AN500" i="16" s="1"/>
  <c r="AD422" i="16"/>
  <c r="AD340" i="16"/>
  <c r="AF340" i="16" s="1"/>
  <c r="AD374" i="16"/>
  <c r="AF374" i="16" s="1"/>
  <c r="AD286" i="16"/>
  <c r="AF286" i="16" s="1"/>
  <c r="AG286" i="16" s="1"/>
  <c r="AD272" i="16"/>
  <c r="AC453" i="35"/>
  <c r="AE453" i="35" s="1"/>
  <c r="AH453" i="35" s="1"/>
  <c r="AI453" i="35" s="1"/>
  <c r="K16" i="15"/>
  <c r="K12" i="40"/>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10" i="45"/>
  <c r="S81" i="48"/>
  <c r="W81" i="48" s="1"/>
  <c r="K11" i="6"/>
  <c r="K9" i="6"/>
  <c r="K11" i="5"/>
  <c r="K9" i="5"/>
  <c r="K12" i="7"/>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O137" i="16"/>
  <c r="S137" i="16" s="1"/>
  <c r="O83" i="16"/>
  <c r="S83" i="16" s="1"/>
  <c r="AC276" i="35"/>
  <c r="AL242" i="16"/>
  <c r="AN242" i="16" s="1"/>
  <c r="AD420" i="16"/>
  <c r="AF420" i="16" s="1"/>
  <c r="AG420" i="16" s="1"/>
  <c r="J8" i="47"/>
  <c r="J27" i="47"/>
  <c r="O89" i="16"/>
  <c r="S89" i="16" s="1"/>
  <c r="N441" i="35"/>
  <c r="R441" i="35" s="1"/>
  <c r="N433" i="35"/>
  <c r="R433" i="35" s="1"/>
  <c r="N421" i="35"/>
  <c r="R421" i="35" s="1"/>
  <c r="N387" i="35"/>
  <c r="R387" i="35" s="1"/>
  <c r="N241" i="35"/>
  <c r="R241" i="35" s="1"/>
  <c r="AD462" i="16"/>
  <c r="AF462" i="16" s="1"/>
  <c r="AG462" i="16" s="1"/>
  <c r="K10" i="15"/>
  <c r="O25" i="16"/>
  <c r="AK433" i="35"/>
  <c r="O265" i="16"/>
  <c r="S265" i="16" s="1"/>
  <c r="O169" i="16"/>
  <c r="S169" i="16" s="1"/>
  <c r="AD227" i="16"/>
  <c r="AF227" i="16" s="1"/>
  <c r="AG227" i="16" s="1"/>
  <c r="AD179" i="16"/>
  <c r="AF179" i="16" s="1"/>
  <c r="AD12" i="16"/>
  <c r="AD7" i="16"/>
  <c r="K25" i="11"/>
  <c r="N380" i="35"/>
  <c r="R380" i="35" s="1"/>
  <c r="N372" i="35"/>
  <c r="R372" i="35" s="1"/>
  <c r="K8" i="40"/>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K11" i="39"/>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C154" i="27"/>
  <c r="O142" i="27"/>
  <c r="F154" i="27"/>
  <c r="O139" i="27"/>
  <c r="O140" i="27"/>
  <c r="K14" i="15"/>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F14" i="49"/>
  <c r="H38" i="49" s="1"/>
  <c r="I38" i="49" s="1"/>
  <c r="S18" i="49"/>
  <c r="U42" i="49" s="1"/>
  <c r="V42" i="49" s="1"/>
  <c r="H18" i="49"/>
  <c r="J18"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9" i="40"/>
  <c r="AD262" i="16"/>
  <c r="N496" i="35"/>
  <c r="R496" i="35" s="1"/>
  <c r="N488" i="35"/>
  <c r="R488" i="35" s="1"/>
  <c r="N416" i="35"/>
  <c r="R416" i="35" s="1"/>
  <c r="N384" i="35"/>
  <c r="R384" i="35" s="1"/>
  <c r="N376" i="35"/>
  <c r="R376" i="35" s="1"/>
  <c r="N360" i="35"/>
  <c r="R360" i="35" s="1"/>
  <c r="AE378" i="35"/>
  <c r="AH378" i="35" s="1"/>
  <c r="K11" i="14"/>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P8" i="10"/>
  <c r="P30" i="10" s="1"/>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AL220" i="16"/>
  <c r="AN220" i="16" s="1"/>
  <c r="AL484" i="16"/>
  <c r="AN484" i="16" s="1"/>
  <c r="AE229" i="35"/>
  <c r="AH229" i="35" s="1"/>
  <c r="AI229" i="35" s="1"/>
  <c r="K13" i="7"/>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O128" i="16"/>
  <c r="S128" i="16" s="1"/>
  <c r="K9" i="14"/>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O488" i="16"/>
  <c r="S488" i="16" s="1"/>
  <c r="AF58" i="16"/>
  <c r="O73" i="16"/>
  <c r="S73" i="16" s="1"/>
  <c r="N427" i="35"/>
  <c r="R427" i="35" s="1"/>
  <c r="N368" i="35"/>
  <c r="R368" i="35" s="1"/>
  <c r="AK163" i="35"/>
  <c r="N163" i="35"/>
  <c r="R163" i="35" s="1"/>
  <c r="N255" i="35"/>
  <c r="R255" i="35" s="1"/>
  <c r="N232" i="35"/>
  <c r="R232" i="35" s="1"/>
  <c r="K9" i="15"/>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AL486" i="16"/>
  <c r="AN486" i="16" s="1"/>
  <c r="AD486" i="16"/>
  <c r="AF486" i="16" s="1"/>
  <c r="AL256" i="16"/>
  <c r="AN256" i="16" s="1"/>
  <c r="AD256" i="16"/>
  <c r="AF256" i="16" s="1"/>
  <c r="AK297" i="35"/>
  <c r="AF199" i="16"/>
  <c r="AI199" i="16" s="1"/>
  <c r="AJ199" i="16" s="1"/>
  <c r="K8"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S19" i="49" l="1"/>
  <c r="U43" i="49" s="1"/>
  <c r="V43" i="49" s="1"/>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U16" i="49" l="1"/>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<sst xmlns="http://schemas.openxmlformats.org/spreadsheetml/2006/main" count="2750" uniqueCount="714">
  <si>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</si>
  <si>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</si>
  <si>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</si>
  <si>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</si>
  <si>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</si>
  <si>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</si>
  <si>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</si>
  <si>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</si>
  <si>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</si>
  <si>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</si>
  <si>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</si>
  <si>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</si>
  <si>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</si>
  <si>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</si>
  <si>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</si>
  <si>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</si>
  <si>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</si>
  <si>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</si>
  <si>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</si>
  <si>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</si>
  <si>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</si>
  <si>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</si>
  <si>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</si>
  <si>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</si>
  <si>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</si>
  <si>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</si>
  <si>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</si>
  <si>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</si>
  <si>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</si>
  <si>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</si>
  <si>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</si>
  <si>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</si>
  <si>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</si>
  <si>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</si>
  <si>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</si>
  <si>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</si>
  <si>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</si>
  <si>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</si>
  <si>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</si>
  <si>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</si>
  <si>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</si>
  <si>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</si>
  <si>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</si>
  <si>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</si>
  <si>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</si>
  <si>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</si>
  <si>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</si>
  <si>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</si>
  <si>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</si>
  <si>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</si>
  <si>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</si>
  <si>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</si>
  <si>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</si>
  <si>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</si>
  <si>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</si>
  <si>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</si>
  <si>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</si>
  <si>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</si>
  <si>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</si>
  <si>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</si>
  <si>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</si>
  <si>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</si>
  <si>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</si>
  <si>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</si>
  <si>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</si>
  <si>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</si>
  <si>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</si>
  <si>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</si>
  <si>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</si>
  <si>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</si>
  <si>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</si>
  <si>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</si>
  <si>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</si>
  <si>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</si>
  <si>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</si>
  <si>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</si>
  <si>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</si>
  <si>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</si>
  <si>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</si>
  <si>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</si>
  <si>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</si>
  <si>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</si>
  <si>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</si>
  <si>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</si>
  <si>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</si>
  <si>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</si>
  <si>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</si>
  <si>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</si>
  <si>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</si>
  <si>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</si>
  <si>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</si>
  <si>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</si>
  <si>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</si>
  <si>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</si>
  <si>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</si>
  <si>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</si>
  <si>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</si>
  <si>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</si>
  <si>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</si>
  <si>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</si>
  <si>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</si>
  <si>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</si>
  <si>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</si>
  <si>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</si>
  <si>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</si>
  <si>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</si>
  <si>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</si>
  <si>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</si>
  <si>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</si>
  <si>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</si>
  <si>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</si>
  <si>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</si>
  <si>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</si>
  <si>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</si>
  <si>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</si>
  <si>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</si>
  <si>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</si>
  <si>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</si>
  <si>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</si>
  <si>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</si>
  <si>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</si>
  <si>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</si>
  <si>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</si>
  <si>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</si>
  <si>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</si>
  <si>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</si>
  <si>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</si>
  <si>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</si>
  <si>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</si>
  <si>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</si>
  <si>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</si>
  <si>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</si>
  <si>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</si>
  <si>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</si>
  <si>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</si>
  <si>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</si>
  <si>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</si>
  <si>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</si>
  <si>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</si>
  <si>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</si>
  <si>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</si>
  <si>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</si>
  <si>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</si>
  <si>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</si>
  <si>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</si>
  <si>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</si>
  <si>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</si>
  <si>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</si>
  <si>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</si>
  <si>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</si>
  <si>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</si>
  <si>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</si>
  <si>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</si>
  <si>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</si>
  <si>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</si>
  <si>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</si>
  <si>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</si>
  <si>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</si>
  <si>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</si>
  <si>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</si>
  <si>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</si>
  <si>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</si>
  <si>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</si>
  <si>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</si>
  <si>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</si>
  <si>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</si>
  <si>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</si>
  <si>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</si>
  <si>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</si>
  <si>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</si>
  <si>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</si>
  <si>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</si>
  <si>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</si>
  <si>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</si>
  <si>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</si>
  <si>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</si>
  <si>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</si>
  <si>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</si>
  <si>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</si>
  <si>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</si>
  <si>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</si>
  <si>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</si>
  <si>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</si>
  <si>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</si>
  <si>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</si>
  <si>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</si>
  <si>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</si>
  <si>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</si>
  <si>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</si>
  <si>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</si>
  <si>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</si>
  <si>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</si>
  <si>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</si>
  <si>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</si>
  <si>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</si>
  <si>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</si>
  <si>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</si>
  <si>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</si>
  <si>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</si>
  <si>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</si>
  <si>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</si>
  <si>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</si>
  <si>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</si>
  <si>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</si>
  <si>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</si>
  <si>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</si>
  <si>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</si>
  <si>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</si>
  <si>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</si>
  <si>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</si>
  <si>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</si>
  <si>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</si>
  <si>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</si>
  <si>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</si>
  <si>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</si>
  <si>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</si>
  <si>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</si>
  <si>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</si>
  <si>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</si>
  <si>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</si>
  <si>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</si>
  <si>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</si>
  <si>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</si>
  <si>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</si>
  <si>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</si>
  <si>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</si>
  <si>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</si>
  <si>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</si>
  <si>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</si>
  <si>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</si>
  <si>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</si>
  <si>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</si>
  <si>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</si>
  <si>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</si>
  <si>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</si>
  <si>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</si>
  <si>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</si>
  <si>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</si>
  <si>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</si>
  <si>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</si>
  <si>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</si>
  <si>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</si>
  <si>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</si>
  <si>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</si>
  <si>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</si>
  <si>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</si>
  <si>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</si>
  <si>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</si>
  <si>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</si>
  <si>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</si>
  <si>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</si>
  <si>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</si>
  <si>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</si>
  <si>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</si>
  <si>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</si>
  <si>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</si>
  <si>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</si>
  <si>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</si>
  <si>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</si>
  <si>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</si>
  <si>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</si>
  <si>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</si>
  <si>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</si>
  <si>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</si>
  <si>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</si>
  <si>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</si>
  <si>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</si>
  <si>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</si>
  <si>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</si>
  <si>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</si>
  <si>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</si>
  <si>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</si>
  <si>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</si>
  <si>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</si>
  <si>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</si>
  <si>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</si>
  <si>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</si>
  <si>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</si>
  <si>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</si>
  <si>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</si>
  <si>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</si>
  <si>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</si>
  <si>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</si>
  <si>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</si>
  <si>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</si>
  <si>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</si>
  <si>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</si>
  <si>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</si>
  <si>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</si>
  <si>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</si>
  <si>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</si>
  <si>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</si>
  <si>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</si>
  <si>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</si>
  <si>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</si>
  <si>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</si>
  <si>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</si>
  <si>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</si>
  <si>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</si>
  <si>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</si>
  <si>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</si>
  <si>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</si>
  <si>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</si>
  <si>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</si>
  <si>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</si>
  <si>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</si>
  <si>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</si>
  <si>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</si>
  <si>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</si>
  <si>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</si>
  <si>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</si>
  <si>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</si>
  <si>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</si>
  <si>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</si>
  <si>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</si>
  <si>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</si>
  <si>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</si>
  <si>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</si>
  <si>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</si>
  <si>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</si>
  <si>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</si>
  <si>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</si>
  <si>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</si>
  <si>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</si>
  <si>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</si>
  <si>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</si>
  <si>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</si>
  <si>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</si>
  <si>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</si>
  <si>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</si>
  <si>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</si>
  <si>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</si>
  <si>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</si>
  <si>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</si>
  <si>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</si>
  <si>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</si>
  <si>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</si>
  <si>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</si>
  <si>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</si>
  <si>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</si>
  <si>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</si>
  <si>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</si>
  <si>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</si>
  <si>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</si>
  <si>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</si>
  <si>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</si>
  <si>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</si>
  <si>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</si>
  <si>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</si>
  <si>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</si>
  <si>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</si>
  <si>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</si>
  <si>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</si>
  <si>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</si>
  <si>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</si>
  <si>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</si>
  <si>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</si>
  <si>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</si>
  <si>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</si>
  <si>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</si>
  <si>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</si>
  <si>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</si>
  <si>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</si>
  <si>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</si>
  <si>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</si>
  <si>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</si>
  <si>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</si>
  <si>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</si>
  <si>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</si>
  <si>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</si>
  <si>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</si>
  <si>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</si>
  <si>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</si>
  <si>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</si>
  <si>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</si>
  <si>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</si>
  <si>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</si>
  <si>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</si>
  <si>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</si>
  <si>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</si>
  <si>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</si>
  <si>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</si>
  <si>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</si>
  <si>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</si>
  <si>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</si>
  <si>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</si>
  <si>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</si>
  <si>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</si>
  <si>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</si>
  <si>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</si>
  <si>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</si>
  <si>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</si>
  <si>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</si>
  <si>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</si>
  <si>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</si>
  <si>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</si>
  <si>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</si>
  <si>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</si>
  <si>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</si>
  <si>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</si>
  <si>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</si>
  <si>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</si>
  <si>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</si>
  <si>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</si>
  <si>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</si>
  <si>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</si>
  <si>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</si>
  <si>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</si>
  <si>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</si>
  <si>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</si>
  <si>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</si>
  <si>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</si>
  <si>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</si>
  <si>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</si>
  <si>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</si>
  <si>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</si>
  <si>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</si>
  <si>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</si>
  <si>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</si>
  <si>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</si>
  <si>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</si>
  <si>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</si>
  <si>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</si>
  <si>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</si>
  <si>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</si>
  <si>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</si>
  <si>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</si>
  <si>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</si>
  <si>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</si>
  <si>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</si>
  <si>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</si>
  <si>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</si>
  <si>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</si>
  <si>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</si>
  <si>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</si>
  <si>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</si>
  <si>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</si>
  <si>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</si>
  <si>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</si>
  <si>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</si>
  <si>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</si>
  <si>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</si>
  <si>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</si>
  <si>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</si>
  <si>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</si>
  <si>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</si>
  <si>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</si>
  <si>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</si>
  <si>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</si>
  <si>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</si>
  <si>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</si>
  <si>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</si>
  <si>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</si>
  <si>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</si>
  <si>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</si>
  <si>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</si>
  <si>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</si>
  <si>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</si>
  <si>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</si>
  <si>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</si>
  <si>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</si>
  <si>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</si>
  <si>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</si>
  <si>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</si>
  <si>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</si>
  <si>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</si>
  <si>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</si>
  <si>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</si>
  <si>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</si>
  <si>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</si>
  <si>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</si>
  <si>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</si>
  <si>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</si>
  <si>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</si>
  <si>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</si>
  <si>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</si>
  <si>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</si>
  <si>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</si>
  <si>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</si>
  <si>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</si>
  <si>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</si>
  <si>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</si>
  <si>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</si>
  <si>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</si>
  <si>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</si>
  <si>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</si>
  <si>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</si>
  <si>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</si>
  <si>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</si>
  <si>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</si>
  <si>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</si>
  <si>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</si>
  <si>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</si>
  <si>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</si>
  <si>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</si>
  <si>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</si>
  <si>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</si>
  <si>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</si>
  <si>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</si>
  <si>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</si>
  <si>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</si>
  <si>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</si>
  <si>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</si>
  <si>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</si>
  <si>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</si>
  <si>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</si>
  <si>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</si>
  <si>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</si>
  <si>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</si>
  <si>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</si>
  <si>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</si>
  <si>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</si>
  <si>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</si>
  <si>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</si>
  <si>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</si>
  <si>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</si>
  <si>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</si>
  <si>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</si>
  <si>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</si>
  <si>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</si>
  <si>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</si>
  <si>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</si>
  <si>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</si>
  <si>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</si>
  <si>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</si>
  <si>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</si>
  <si>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</si>
  <si>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</si>
  <si>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</si>
  <si>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</si>
  <si>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</si>
  <si>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</si>
  <si>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</si>
  <si>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</si>
  <si>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</si>
  <si>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</si>
  <si>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</si>
  <si>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</si>
  <si>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</si>
  <si>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</si>
  <si>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</si>
  <si>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</si>
  <si>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</si>
  <si>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</si>
  <si>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</si>
  <si>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</si>
  <si>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</si>
  <si>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</si>
  <si>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</si>
  <si>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</si>
  <si>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</si>
  <si>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</si>
  <si>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</si>
  <si>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</si>
  <si>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</si>
  <si>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</si>
  <si>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</si>
  <si>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</si>
  <si>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</si>
  <si>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</si>
  <si>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</si>
  <si>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</si>
  <si>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</si>
  <si>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</si>
  <si>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</si>
  <si>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</si>
  <si>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</si>
  <si>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</si>
  <si>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</si>
  <si>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</si>
  <si>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</si>
  <si>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</si>
  <si>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</si>
  <si>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</si>
  <si>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</si>
  <si>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</si>
  <si>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</si>
  <si>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</si>
  <si>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</si>
  <si>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</si>
  <si>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</si>
  <si>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</si>
  <si>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</si>
  <si>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</si>
  <si>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</si>
  <si>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</si>
  <si>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</si>
  <si>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</si>
  <si>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</si>
  <si>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</si>
  <si>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</si>
  <si>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</si>
  <si>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</si>
  <si>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</si>
  <si>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</si>
  <si>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</si>
  <si>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</si>
  <si>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</si>
  <si>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</si>
  <si>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</si>
  <si>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</si>
  <si>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</si>
  <si>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</si>
  <si>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</si>
  <si>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</si>
  <si>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</si>
  <si>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</si>
  <si>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</si>
  <si>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</si>
  <si>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</si>
  <si>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</si>
  <si>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</si>
  <si>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</si>
  <si>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</si>
  <si>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</si>
  <si>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</si>
  <si>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</si>
  <si>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</si>
  <si>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</si>
  <si>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</si>
  <si>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</si>
  <si>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</si>
  <si>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</si>
  <si>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</si>
  <si>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</si>
  <si>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</si>
  <si>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</si>
  <si>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</si>
  <si>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</si>
  <si>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</si>
  <si>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</si>
  <si>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</si>
  <si>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</si>
  <si>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</si>
  <si>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</si>
  <si>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</si>
  <si>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</si>
  <si>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</si>
  <si>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</si>
  <si>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</si>
  <si>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</si>
  <si>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</si>
  <si>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</si>
  <si>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</si>
  <si>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</si>
  <si>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</si>
  <si>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</si>
  <si>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</si>
  <si>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</si>
  <si>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</si>
  <si>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</si>
  <si>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</si>
  <si>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</si>
  <si>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</si>
  <si>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</si>
  <si>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</si>
  <si>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</si>
  <si>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</si>
  <si>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</si>
  <si>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</si>
  <si>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</si>
  <si>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</si>
  <si>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</si>
  <si>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</si>
  <si>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</si>
  <si>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</si>
  <si>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</si>
  <si>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</si>
  <si>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</si>
  <si>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</si>
  <si>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</si>
  <si>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</si>
  <si>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</si>
  <si>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</si>
  <si>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</si>
  <si>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</si>
  <si>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</si>
  <si>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</si>
  <si>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Hojas no protejidas</t>
  </si>
  <si>
    <t>Cuentas</t>
  </si>
  <si>
    <t>Rev JR</t>
  </si>
  <si>
    <t>Sumaria Ingresos</t>
  </si>
  <si>
    <t>1 Ingresos Acum &amp; No Acum</t>
  </si>
  <si>
    <t>2 Ingresos BMV &amp; SIC</t>
  </si>
  <si>
    <t>backend</t>
  </si>
  <si>
    <t>3 Ingresos 10% Ad - Dividendos</t>
  </si>
  <si>
    <t>SheetNames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</si>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</sst>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8">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0"/>
      <name val="Calibri-Light"/>
      <family val="2"/>
    </font>
    <font>
      <b/>
      <sz val="12"/>
      <color theme="1"/>
      <name val="Calibri-Light"/>
      <family val="2"/>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5">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902">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2" fillId="21"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6" fillId="0" borderId="0" xfId="0" applyNumberFormat="1" applyFont="1"/>
    <xf numFmtId="0" fontId="66" fillId="0" borderId="0" xfId="0" applyFont="1" applyAlignment="1">
      <alignment horizontal="center" vertical="center"/>
    </xf>
    <xf numFmtId="0" fontId="66" fillId="0" borderId="0" xfId="0" applyFont="1" applyBorder="1" applyAlignment="1">
      <alignment horizontal="center" vertical="center"/>
    </xf>
    <xf numFmtId="1" fontId="66" fillId="0" borderId="0" xfId="0" applyNumberFormat="1" applyFont="1" applyBorder="1" applyAlignment="1">
      <alignment horizontal="center" vertical="center"/>
    </xf>
    <xf numFmtId="43" fontId="66" fillId="0" borderId="0" xfId="0" applyNumberFormat="1" applyFont="1" applyBorder="1"/>
    <xf numFmtId="0" fontId="66" fillId="0" borderId="23" xfId="0" applyFont="1" applyBorder="1" applyAlignment="1">
      <alignment horizontal="center" vertical="center"/>
    </xf>
    <xf numFmtId="1" fontId="66" fillId="0" borderId="23" xfId="0" applyNumberFormat="1" applyFont="1" applyBorder="1" applyAlignment="1">
      <alignment horizontal="center" vertical="center"/>
    </xf>
    <xf numFmtId="43" fontId="66" fillId="0" borderId="23" xfId="0" applyNumberFormat="1" applyFont="1" applyBorder="1"/>
    <xf numFmtId="0" fontId="66" fillId="0" borderId="24" xfId="0" applyFont="1" applyBorder="1" applyAlignment="1">
      <alignment horizontal="center" vertical="center"/>
    </xf>
    <xf numFmtId="1" fontId="66" fillId="0" borderId="24" xfId="0" applyNumberFormat="1" applyFont="1" applyBorder="1" applyAlignment="1">
      <alignment horizontal="center" vertical="center"/>
    </xf>
    <xf numFmtId="43" fontId="66" fillId="0" borderId="24" xfId="0" applyNumberFormat="1" applyFont="1" applyBorder="1"/>
    <xf numFmtId="0" fontId="67" fillId="3" borderId="0" xfId="0" applyFont="1" applyFill="1" applyAlignment="1">
      <alignment horizontal="center" vertical="center"/>
    </xf>
    <xf numFmtId="43" fontId="67" fillId="3" borderId="0" xfId="0" applyNumberFormat="1" applyFont="1" applyFill="1"/>
    <xf numFmtId="43" fontId="65" fillId="0" borderId="0" xfId="0" applyNumberFormat="1" applyFont="1"/>
    <xf numFmtId="0" fontId="65" fillId="0" borderId="0" xfId="0" applyFont="1" applyAlignment="1">
      <alignment horizontal="center" vertical="center"/>
    </xf>
    <xf numFmtId="43" fontId="9" fillId="0" borderId="22" xfId="0" applyNumberFormat="1" applyFont="1" applyBorder="1"/>
    <xf numFmtId="0" fontId="65" fillId="0" borderId="0" xfId="0" applyFont="1" applyBorder="1" applyAlignment="1">
      <alignment horizontal="center" vertical="center"/>
    </xf>
    <xf numFmtId="1" fontId="65" fillId="0" borderId="0" xfId="0" applyNumberFormat="1" applyFont="1" applyBorder="1" applyAlignment="1">
      <alignment horizontal="center" vertical="center"/>
    </xf>
    <xf numFmtId="43" fontId="65" fillId="0" borderId="0" xfId="0" applyNumberFormat="1" applyFont="1" applyBorder="1"/>
    <xf numFmtId="43" fontId="9" fillId="0" borderId="0" xfId="0" applyNumberFormat="1" applyFont="1" applyBorder="1"/>
    <xf numFmtId="0" fontId="65" fillId="0" borderId="23" xfId="0" applyFont="1" applyBorder="1" applyAlignment="1">
      <alignment horizontal="center" vertical="center"/>
    </xf>
    <xf numFmtId="1" fontId="65" fillId="0" borderId="23" xfId="0" applyNumberFormat="1" applyFont="1" applyBorder="1" applyAlignment="1">
      <alignment horizontal="center" vertical="center"/>
    </xf>
    <xf numFmtId="43" fontId="65" fillId="0" borderId="23" xfId="0" applyNumberFormat="1" applyFont="1" applyBorder="1"/>
    <xf numFmtId="0" fontId="65" fillId="0" borderId="24" xfId="0" applyFont="1" applyBorder="1" applyAlignment="1">
      <alignment horizontal="center" vertical="center"/>
    </xf>
    <xf numFmtId="1" fontId="65" fillId="0" borderId="24" xfId="0" applyNumberFormat="1" applyFont="1" applyBorder="1" applyAlignment="1">
      <alignment horizontal="center" vertical="center"/>
    </xf>
    <xf numFmtId="43" fontId="65" fillId="0" borderId="24" xfId="0" applyNumberFormat="1" applyFont="1" applyBorder="1"/>
    <xf numFmtId="43" fontId="9" fillId="0" borderId="24" xfId="0" applyNumberFormat="1" applyFont="1" applyBorder="1"/>
    <xf numFmtId="0" fontId="64" fillId="3" borderId="0" xfId="0" applyFont="1" applyFill="1" applyAlignment="1">
      <alignment horizontal="center" vertical="center"/>
    </xf>
    <xf numFmtId="43" fontId="64" fillId="3" borderId="0" xfId="0" applyNumberFormat="1" applyFont="1" applyFill="1"/>
    <xf numFmtId="43" fontId="30" fillId="3" borderId="0" xfId="0" applyNumberFormat="1" applyFont="1" applyFill="1"/>
    <xf numFmtId="0" fontId="2" fillId="24" borderId="27" xfId="236" applyFill="1" applyBorder="1" applyAlignment="1">
      <alignment horizontal="center"/>
    </xf>
    <xf numFmtId="0" fontId="2" fillId="0" borderId="28" xfId="236" applyFill="1" applyBorder="1" applyAlignment="1">
      <alignment horizontal="center"/>
    </xf>
    <xf numFmtId="0" fontId="2" fillId="0" borderId="27" xfId="236" applyBorder="1"/>
    <xf numFmtId="0" fontId="2" fillId="0" borderId="30" xfId="236" applyBorder="1"/>
    <xf numFmtId="0" fontId="10" fillId="0" borderId="31" xfId="236" applyFont="1" applyBorder="1"/>
    <xf numFmtId="0" fontId="10" fillId="0" borderId="0" xfId="236" applyFont="1" applyBorder="1" applyAlignment="1" applyProtection="1">
      <alignment vertical="center"/>
      <protection locked="0"/>
    </xf>
    <xf numFmtId="0" fontId="2" fillId="0" borderId="32"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8" xfId="236" applyFont="1" applyBorder="1"/>
    <xf numFmtId="0" fontId="10" fillId="21" borderId="33" xfId="236" applyFont="1" applyFill="1" applyBorder="1"/>
    <xf numFmtId="0" fontId="2" fillId="21" borderId="33" xfId="236" applyFill="1" applyBorder="1"/>
    <xf numFmtId="0" fontId="2" fillId="0" borderId="34" xfId="236" applyBorder="1"/>
    <xf numFmtId="0" fontId="2" fillId="24" borderId="25" xfId="236" applyFill="1" applyBorder="1" applyAlignment="1">
      <alignment horizontal="center" vertical="center"/>
    </xf>
    <xf numFmtId="0" fontId="2" fillId="0" borderId="26" xfId="236" applyFill="1" applyBorder="1" applyAlignment="1">
      <alignment horizontal="center" vertical="center"/>
    </xf>
    <xf numFmtId="43" fontId="30" fillId="3" borderId="24" xfId="0" applyNumberFormat="1" applyFont="1" applyFill="1" applyBorder="1"/>
    <xf numFmtId="43" fontId="30" fillId="3" borderId="23" xfId="0" applyNumberFormat="1" applyFont="1" applyFill="1" applyBorder="1"/>
    <xf numFmtId="0" fontId="2" fillId="0" borderId="31" xfId="236" applyBorder="1"/>
    <xf numFmtId="0" fontId="2" fillId="0" borderId="28" xfId="236" applyBorder="1"/>
    <xf numFmtId="0" fontId="2" fillId="7" borderId="0" xfId="236" applyFill="1"/>
    <xf numFmtId="0" fontId="2" fillId="18" borderId="0" xfId="236" applyFill="1"/>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9" xfId="236" applyFont="1" applyFill="1" applyBorder="1" applyAlignment="1">
      <alignment horizontal="center"/>
    </xf>
    <xf numFmtId="0" fontId="2" fillId="23" borderId="29" xfId="236" applyFill="1" applyBorder="1" applyAlignment="1">
      <alignment horizontal="center"/>
    </xf>
    <xf numFmtId="0" fontId="0" fillId="22" borderId="27" xfId="236" applyFont="1" applyFill="1" applyBorder="1" applyAlignment="1">
      <alignment horizontal="center" vertical="center"/>
    </xf>
    <xf numFmtId="0" fontId="0" fillId="22" borderId="30" xfId="236" applyFont="1" applyFill="1" applyBorder="1" applyAlignment="1">
      <alignment horizontal="center" vertical="center"/>
    </xf>
    <xf numFmtId="0" fontId="0" fillId="22" borderId="31"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pplyProtection="1">
      <alignment horizontal="left" vertical="center"/>
    </xf>
    <xf numFmtId="0" fontId="31" fillId="0" borderId="0" xfId="0" applyFont="1" applyAlignment="1" applyProtection="1">
      <alignment horizontal="left"/>
    </xf>
    <xf numFmtId="0" fontId="31" fillId="0" borderId="0" xfId="0" applyFont="1" applyAlignment="1">
      <alignment horizontal="left"/>
    </xf>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58.642242245369"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58.642245949071"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58.642247800926"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0"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0"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2"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2"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6" totalsRowShown="0" tableBorderDxfId="688">
  <autoFilter ref="B4:D16"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E29"/>
  <sheetViews>
    <sheetView workbookViewId="0">
      <selection activeCell="E20" sqref="E20"/>
    </sheetView>
  </sheetViews>
  <sheetFormatPr defaultColWidth="29.08984375" defaultRowHeight="15"/>
  <cols>
    <col min="1" max="1" width="29.7265625" style="738"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5">
      <c r="A1" s="735" t="s">
        <v>676</v>
      </c>
      <c r="C1" s="736" t="s">
        <v>677</v>
      </c>
      <c r="E1" s="737" t="s">
        <v>678</v>
      </c>
    </row>
    <row r="2" spans="1:5">
      <c r="A2" s="738" t="s">
        <v>679</v>
      </c>
      <c r="C2" s="730" t="s">
        <v>680</v>
      </c>
      <c r="E2" s="730" t="s">
        <v>679</v>
      </c>
    </row>
    <row r="3" spans="1:5">
      <c r="A3" s="738" t="s">
        <v>681</v>
      </c>
      <c r="E3" s="730" t="s">
        <v>680</v>
      </c>
    </row>
    <row r="4" spans="1:5">
      <c r="A4" s="738" t="s">
        <v>682</v>
      </c>
      <c r="E4" s="730" t="s">
        <v>682</v>
      </c>
    </row>
    <row r="5" spans="1:5">
      <c r="A5" s="738" t="s">
        <v>683</v>
      </c>
      <c r="E5" s="730" t="s">
        <v>684</v>
      </c>
    </row>
    <row r="6" spans="1:5">
      <c r="A6" s="738" t="s">
        <v>685</v>
      </c>
      <c r="E6" s="730" t="s">
        <v>686</v>
      </c>
    </row>
    <row r="7" spans="1:5">
      <c r="A7" s="738" t="s">
        <v>687</v>
      </c>
    </row>
    <row r="8" spans="1:5">
      <c r="A8" s="738" t="s">
        <v>688</v>
      </c>
    </row>
    <row r="9" spans="1:5">
      <c r="A9" s="738" t="s">
        <v>689</v>
      </c>
    </row>
    <row r="10" spans="1:5">
      <c r="A10" s="738" t="s">
        <v>690</v>
      </c>
    </row>
    <row r="11" spans="1:5">
      <c r="A11" s="738" t="s">
        <v>691</v>
      </c>
    </row>
    <row r="12" spans="1:5">
      <c r="A12" s="738" t="s">
        <v>63</v>
      </c>
    </row>
    <row r="13" spans="1:5">
      <c r="A13" s="738" t="s">
        <v>692</v>
      </c>
    </row>
    <row r="14" spans="1:5">
      <c r="A14" s="738" t="s">
        <v>693</v>
      </c>
    </row>
    <row r="15" spans="1:5">
      <c r="A15" s="738" t="s">
        <v>694</v>
      </c>
    </row>
    <row r="16" spans="1:5">
      <c r="A16" s="738" t="s">
        <v>695</v>
      </c>
    </row>
    <row r="17" spans="1:1">
      <c r="A17" s="738" t="s">
        <v>696</v>
      </c>
    </row>
    <row r="18" spans="1:1">
      <c r="A18" s="739" t="s">
        <v>697</v>
      </c>
    </row>
    <row r="19" spans="1:1">
      <c r="A19" s="738" t="s">
        <v>634</v>
      </c>
    </row>
    <row r="20" spans="1:1">
      <c r="A20" s="738" t="s">
        <v>698</v>
      </c>
    </row>
    <row r="21" spans="1:1">
      <c r="A21" s="738" t="s">
        <v>699</v>
      </c>
    </row>
    <row r="22" spans="1:1">
      <c r="A22" s="738" t="s">
        <v>700</v>
      </c>
    </row>
    <row r="23" spans="1:1">
      <c r="A23" s="738" t="s">
        <v>701</v>
      </c>
    </row>
    <row r="24" spans="1:1">
      <c r="A24" s="738" t="s">
        <v>702</v>
      </c>
    </row>
    <row r="25" spans="1:1">
      <c r="A25" s="738" t="s">
        <v>703</v>
      </c>
    </row>
    <row r="26" spans="1:1">
      <c r="A26" s="738" t="s">
        <v>704</v>
      </c>
    </row>
    <row r="27" spans="1:1">
      <c r="A27" s="738" t="s">
        <v>705</v>
      </c>
    </row>
    <row r="28" spans="1:1">
      <c r="A28" s="738" t="s">
        <v>706</v>
      </c>
    </row>
    <row r="29" spans="1:1">
      <c r="A29" s="738" t="s">
        <v>707</v>
      </c>
    </row>
  </sheetData>
  <sheetProtection algorithmName="SHA-512" hashValue="CO6bpWn5z89p/tnzvK91nejI/+yilzu+6VS89gkLmaEc87Y+K7Lplgf1GdQf9U1mjjSKdksW/lGn7cQdVX9Bnw==" saltValue="K6GWzKTs/a7ghxgSA8/VjA=="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abSelected="1" topLeftCell="J1" workbookViewId="0">
      <selection activeCell="P16" sqref="P16"/>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27" t="s">
        <v>675</v>
      </c>
      <c r="B1" s="829"/>
      <c r="C1" s="853" t="s">
        <v>711</v>
      </c>
      <c r="D1" s="854"/>
      <c r="E1" s="854"/>
      <c r="F1" s="854"/>
      <c r="G1" s="854"/>
      <c r="H1" s="854"/>
      <c r="I1" s="854"/>
      <c r="J1" s="854"/>
      <c r="K1" s="854"/>
      <c r="L1" s="854"/>
      <c r="M1" s="854"/>
      <c r="N1" s="830"/>
      <c r="O1" s="843" t="s">
        <v>710</v>
      </c>
      <c r="P1" s="855" t="s">
        <v>712</v>
      </c>
      <c r="Q1" s="856"/>
      <c r="R1" s="857" t="s">
        <v>713</v>
      </c>
      <c r="S1" s="858"/>
    </row>
    <row r="2" spans="1:19" ht="19.8" thickBot="1">
      <c r="A2" s="828">
        <v>11</v>
      </c>
      <c r="B2" s="831"/>
      <c r="C2" s="832"/>
      <c r="D2" s="851" t="s">
        <v>352</v>
      </c>
      <c r="E2" s="851"/>
      <c r="F2" s="851"/>
      <c r="G2" s="851"/>
      <c r="H2" s="851"/>
      <c r="I2" s="851"/>
      <c r="J2" s="851"/>
      <c r="K2" s="851"/>
      <c r="L2" s="851"/>
      <c r="M2" s="851"/>
      <c r="N2" s="833"/>
      <c r="O2" s="844" t="b">
        <v>1</v>
      </c>
      <c r="P2" s="847" t="s">
        <v>63</v>
      </c>
      <c r="Q2" s="833">
        <v>10</v>
      </c>
      <c r="R2" s="849" t="s">
        <v>63</v>
      </c>
      <c r="S2" s="849" t="s">
        <v>185</v>
      </c>
    </row>
    <row r="3" spans="1:19" ht="19.2">
      <c r="B3" s="831"/>
      <c r="C3" s="834"/>
      <c r="D3" s="835" t="s">
        <v>67</v>
      </c>
      <c r="E3" s="835" t="s">
        <v>67</v>
      </c>
      <c r="F3" s="835" t="s">
        <v>67</v>
      </c>
      <c r="G3" s="835" t="s">
        <v>67</v>
      </c>
      <c r="H3" s="835" t="s">
        <v>67</v>
      </c>
      <c r="I3" s="835" t="s">
        <v>67</v>
      </c>
      <c r="J3" s="835" t="s">
        <v>67</v>
      </c>
      <c r="K3" s="835" t="s">
        <v>67</v>
      </c>
      <c r="L3" s="835" t="s">
        <v>67</v>
      </c>
      <c r="M3" s="852" t="s">
        <v>70</v>
      </c>
      <c r="N3" s="833"/>
      <c r="P3" s="847" t="s">
        <v>692</v>
      </c>
      <c r="Q3" s="833">
        <v>10</v>
      </c>
      <c r="R3" s="849" t="s">
        <v>692</v>
      </c>
      <c r="S3" s="849" t="s">
        <v>449</v>
      </c>
    </row>
    <row r="4" spans="1:19" ht="19.2">
      <c r="B4" s="831"/>
      <c r="C4" s="836"/>
      <c r="D4" s="835" t="s">
        <v>69</v>
      </c>
      <c r="E4" s="835" t="s">
        <v>69</v>
      </c>
      <c r="F4" s="835" t="s">
        <v>69</v>
      </c>
      <c r="G4" s="835" t="s">
        <v>69</v>
      </c>
      <c r="H4" s="835" t="s">
        <v>69</v>
      </c>
      <c r="I4" s="835" t="s">
        <v>69</v>
      </c>
      <c r="J4" s="835" t="s">
        <v>69</v>
      </c>
      <c r="K4" s="835" t="s">
        <v>69</v>
      </c>
      <c r="L4" s="835" t="s">
        <v>69</v>
      </c>
      <c r="M4" s="852"/>
      <c r="N4" s="833"/>
      <c r="P4" s="847" t="s">
        <v>693</v>
      </c>
      <c r="Q4" s="833">
        <v>10</v>
      </c>
      <c r="R4" s="849" t="s">
        <v>693</v>
      </c>
      <c r="S4" s="849" t="s">
        <v>186</v>
      </c>
    </row>
    <row r="5" spans="1:19" ht="19.2">
      <c r="B5" s="831"/>
      <c r="C5" s="732" t="s">
        <v>351</v>
      </c>
      <c r="D5" s="733"/>
      <c r="E5" s="733"/>
      <c r="F5" s="733"/>
      <c r="G5" s="733"/>
      <c r="H5" s="733"/>
      <c r="I5" s="733"/>
      <c r="J5" s="733"/>
      <c r="K5" s="733"/>
      <c r="L5" s="733"/>
      <c r="M5" s="733">
        <f t="shared" ref="M5:M17" si="0">SUM(D5:L5)</f>
        <v>0</v>
      </c>
      <c r="N5" s="833"/>
      <c r="P5" s="847" t="s">
        <v>634</v>
      </c>
      <c r="Q5" s="833">
        <v>10</v>
      </c>
      <c r="R5" s="849" t="s">
        <v>634</v>
      </c>
      <c r="S5" s="849" t="s">
        <v>188</v>
      </c>
    </row>
    <row r="6" spans="1:19" ht="19.2">
      <c r="B6" s="831"/>
      <c r="C6" s="732" t="s">
        <v>66</v>
      </c>
      <c r="D6" s="733"/>
      <c r="E6" s="733"/>
      <c r="F6" s="733"/>
      <c r="G6" s="733"/>
      <c r="H6" s="733"/>
      <c r="I6" s="733"/>
      <c r="J6" s="733"/>
      <c r="K6" s="733"/>
      <c r="L6" s="733"/>
      <c r="M6" s="733">
        <f t="shared" si="0"/>
        <v>0</v>
      </c>
      <c r="N6" s="833"/>
      <c r="P6" s="847" t="s">
        <v>700</v>
      </c>
      <c r="Q6" s="833">
        <v>10</v>
      </c>
      <c r="R6" s="849" t="s">
        <v>700</v>
      </c>
      <c r="S6" s="849" t="s">
        <v>374</v>
      </c>
    </row>
    <row r="7" spans="1:19" ht="19.2">
      <c r="B7" s="831"/>
      <c r="C7" s="732" t="s">
        <v>68</v>
      </c>
      <c r="D7" s="733"/>
      <c r="E7" s="733"/>
      <c r="F7" s="733"/>
      <c r="G7" s="733"/>
      <c r="H7" s="733"/>
      <c r="I7" s="733"/>
      <c r="J7" s="733"/>
      <c r="K7" s="733"/>
      <c r="L7" s="733"/>
      <c r="M7" s="733">
        <f t="shared" si="0"/>
        <v>0</v>
      </c>
      <c r="N7" s="833"/>
      <c r="P7" s="847" t="s">
        <v>701</v>
      </c>
      <c r="Q7" s="833">
        <v>10</v>
      </c>
      <c r="R7" s="849" t="s">
        <v>701</v>
      </c>
      <c r="S7" s="849" t="s">
        <v>377</v>
      </c>
    </row>
    <row r="8" spans="1:19" ht="19.2">
      <c r="B8" s="831"/>
      <c r="C8" s="732" t="s">
        <v>71</v>
      </c>
      <c r="D8" s="733"/>
      <c r="E8" s="733"/>
      <c r="F8" s="733"/>
      <c r="G8" s="733"/>
      <c r="H8" s="733"/>
      <c r="I8" s="733"/>
      <c r="J8" s="733"/>
      <c r="K8" s="733"/>
      <c r="L8" s="733"/>
      <c r="M8" s="733">
        <f t="shared" si="0"/>
        <v>0</v>
      </c>
      <c r="N8" s="833"/>
      <c r="P8" s="847" t="s">
        <v>702</v>
      </c>
      <c r="Q8" s="833">
        <v>10</v>
      </c>
      <c r="R8" s="849" t="s">
        <v>702</v>
      </c>
      <c r="S8" s="849" t="s">
        <v>187</v>
      </c>
    </row>
    <row r="9" spans="1:19" ht="19.2">
      <c r="B9" s="831"/>
      <c r="C9" s="732" t="s">
        <v>72</v>
      </c>
      <c r="D9" s="733"/>
      <c r="E9" s="733"/>
      <c r="F9" s="733"/>
      <c r="G9" s="733"/>
      <c r="H9" s="733"/>
      <c r="I9" s="733"/>
      <c r="J9" s="733"/>
      <c r="K9" s="733"/>
      <c r="L9" s="733"/>
      <c r="M9" s="733">
        <f t="shared" si="0"/>
        <v>0</v>
      </c>
      <c r="N9" s="833"/>
      <c r="P9" s="847" t="s">
        <v>705</v>
      </c>
      <c r="Q9" s="833">
        <v>10</v>
      </c>
      <c r="R9" s="849" t="s">
        <v>703</v>
      </c>
      <c r="S9" s="849" t="s">
        <v>397</v>
      </c>
    </row>
    <row r="10" spans="1:19" ht="19.2">
      <c r="B10" s="831"/>
      <c r="C10" s="732" t="s">
        <v>73</v>
      </c>
      <c r="D10" s="733"/>
      <c r="E10" s="733"/>
      <c r="F10" s="733"/>
      <c r="G10" s="733"/>
      <c r="H10" s="733"/>
      <c r="I10" s="733"/>
      <c r="J10" s="733"/>
      <c r="K10" s="733"/>
      <c r="L10" s="733"/>
      <c r="M10" s="733">
        <f t="shared" si="0"/>
        <v>0</v>
      </c>
      <c r="N10" s="833"/>
      <c r="P10" s="847" t="s">
        <v>699</v>
      </c>
      <c r="Q10" s="833">
        <v>9</v>
      </c>
      <c r="R10" s="849" t="s">
        <v>705</v>
      </c>
      <c r="S10" s="849" t="s">
        <v>96</v>
      </c>
    </row>
    <row r="11" spans="1:19" ht="19.2">
      <c r="B11" s="831"/>
      <c r="C11" s="732" t="s">
        <v>74</v>
      </c>
      <c r="D11" s="733"/>
      <c r="E11" s="733"/>
      <c r="F11" s="733"/>
      <c r="G11" s="733"/>
      <c r="H11" s="733"/>
      <c r="I11" s="733"/>
      <c r="J11" s="733"/>
      <c r="K11" s="733"/>
      <c r="L11" s="733"/>
      <c r="M11" s="733">
        <f t="shared" si="0"/>
        <v>0</v>
      </c>
      <c r="N11" s="833"/>
      <c r="P11" s="847" t="s">
        <v>706</v>
      </c>
      <c r="Q11" s="833">
        <v>9</v>
      </c>
      <c r="R11" s="850" t="s">
        <v>699</v>
      </c>
      <c r="S11" s="850" t="s">
        <v>367</v>
      </c>
    </row>
    <row r="12" spans="1:19" ht="19.2">
      <c r="B12" s="831"/>
      <c r="C12" s="732" t="s">
        <v>75</v>
      </c>
      <c r="D12" s="733"/>
      <c r="E12" s="733"/>
      <c r="F12" s="733"/>
      <c r="G12" s="733"/>
      <c r="H12" s="733"/>
      <c r="I12" s="733"/>
      <c r="J12" s="733"/>
      <c r="K12" s="733"/>
      <c r="L12" s="733"/>
      <c r="M12" s="733">
        <f t="shared" si="0"/>
        <v>0</v>
      </c>
      <c r="N12" s="833"/>
      <c r="P12" s="847" t="s">
        <v>707</v>
      </c>
      <c r="Q12" s="833">
        <v>9</v>
      </c>
      <c r="R12" s="850" t="s">
        <v>706</v>
      </c>
      <c r="S12" s="850" t="s">
        <v>529</v>
      </c>
    </row>
    <row r="13" spans="1:19" ht="19.8" thickBot="1">
      <c r="B13" s="831"/>
      <c r="C13" s="732" t="s">
        <v>76</v>
      </c>
      <c r="D13" s="733"/>
      <c r="E13" s="733"/>
      <c r="F13" s="733"/>
      <c r="G13" s="733"/>
      <c r="H13" s="733"/>
      <c r="I13" s="733"/>
      <c r="J13" s="733"/>
      <c r="K13" s="733"/>
      <c r="L13" s="733"/>
      <c r="M13" s="733">
        <f t="shared" si="0"/>
        <v>0</v>
      </c>
      <c r="N13" s="833"/>
      <c r="P13" s="848" t="s">
        <v>698</v>
      </c>
      <c r="Q13" s="842">
        <v>17</v>
      </c>
      <c r="R13" s="850" t="s">
        <v>707</v>
      </c>
      <c r="S13" s="850" t="s">
        <v>535</v>
      </c>
    </row>
    <row r="14" spans="1:19" ht="19.2">
      <c r="B14" s="831"/>
      <c r="C14" s="732" t="s">
        <v>77</v>
      </c>
      <c r="D14" s="733"/>
      <c r="E14" s="733"/>
      <c r="F14" s="733"/>
      <c r="G14" s="733"/>
      <c r="H14" s="733"/>
      <c r="I14" s="733"/>
      <c r="J14" s="733"/>
      <c r="K14" s="733"/>
      <c r="L14" s="733"/>
      <c r="M14" s="733">
        <f t="shared" si="0"/>
        <v>0</v>
      </c>
      <c r="N14" s="833"/>
    </row>
    <row r="15" spans="1:19" ht="19.2">
      <c r="B15" s="831"/>
      <c r="C15" s="732" t="s">
        <v>78</v>
      </c>
      <c r="D15" s="733"/>
      <c r="E15" s="733"/>
      <c r="F15" s="733"/>
      <c r="G15" s="733"/>
      <c r="H15" s="733"/>
      <c r="I15" s="733"/>
      <c r="J15" s="733"/>
      <c r="K15" s="733"/>
      <c r="L15" s="733"/>
      <c r="M15" s="733">
        <f t="shared" si="0"/>
        <v>0</v>
      </c>
      <c r="N15" s="833"/>
    </row>
    <row r="16" spans="1:19" ht="19.2">
      <c r="B16" s="831"/>
      <c r="C16" s="732" t="s">
        <v>79</v>
      </c>
      <c r="D16" s="733"/>
      <c r="E16" s="733"/>
      <c r="F16" s="733"/>
      <c r="G16" s="733"/>
      <c r="H16" s="733"/>
      <c r="I16" s="733"/>
      <c r="J16" s="733"/>
      <c r="K16" s="733"/>
      <c r="L16" s="733"/>
      <c r="M16" s="733">
        <f t="shared" si="0"/>
        <v>0</v>
      </c>
      <c r="N16" s="833"/>
    </row>
    <row r="17" spans="1:14" ht="19.2">
      <c r="B17" s="831"/>
      <c r="C17" s="732" t="s">
        <v>80</v>
      </c>
      <c r="D17" s="733"/>
      <c r="E17" s="733"/>
      <c r="F17" s="733"/>
      <c r="G17" s="733"/>
      <c r="H17" s="733"/>
      <c r="I17" s="733"/>
      <c r="J17" s="733"/>
      <c r="K17" s="733"/>
      <c r="L17" s="733"/>
      <c r="M17" s="733">
        <f t="shared" si="0"/>
        <v>0</v>
      </c>
      <c r="N17" s="833"/>
    </row>
    <row r="18" spans="1:14" ht="19.2">
      <c r="B18" s="831"/>
      <c r="C18" s="837"/>
      <c r="D18" s="832"/>
      <c r="E18" s="832"/>
      <c r="F18" s="832"/>
      <c r="G18" s="832"/>
      <c r="H18" s="832"/>
      <c r="I18" s="832"/>
      <c r="J18" s="832"/>
      <c r="K18" s="832"/>
      <c r="L18" s="832"/>
      <c r="M18" s="734">
        <f>SUM(M6:M17)</f>
        <v>0</v>
      </c>
      <c r="N18" s="833"/>
    </row>
    <row r="19" spans="1:14" ht="19.2">
      <c r="B19" s="831"/>
      <c r="C19" s="837"/>
      <c r="D19" s="837"/>
      <c r="E19" s="837"/>
      <c r="F19" s="837"/>
      <c r="G19" s="838"/>
      <c r="H19" s="838"/>
      <c r="I19" s="838"/>
      <c r="J19" s="838"/>
      <c r="K19" s="838"/>
      <c r="L19" s="838"/>
      <c r="M19" s="838"/>
      <c r="N19" s="833"/>
    </row>
    <row r="20" spans="1:14" ht="19.8" thickBot="1">
      <c r="B20" s="839"/>
      <c r="C20" s="840"/>
      <c r="D20" s="840"/>
      <c r="E20" s="840"/>
      <c r="F20" s="840"/>
      <c r="G20" s="841"/>
      <c r="H20" s="841"/>
      <c r="I20" s="841"/>
      <c r="J20" s="841"/>
      <c r="K20" s="841"/>
      <c r="L20" s="841"/>
      <c r="M20" s="841"/>
      <c r="N20" s="842"/>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sheetProtection algorithmName="SHA-512" hashValue="9UKl2+9HTg8UhfNMYlx4MKBowc/OT55xu3JKTEJzJfY0+/HDyoauv+QWBr2CPKKHpPhVLexhwrT90dW6dFvRvg==" saltValue="DtzEMwqsDMzPS5R1pnt0hQ==" spinCount="100000" sheet="1" objects="1" scenarios="1"/>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6" sqref="B16"/>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62" t="s">
        <v>457</v>
      </c>
      <c r="H3" s="862"/>
      <c r="I3" s="862"/>
      <c r="J3" s="862"/>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59" t="s">
        <v>370</v>
      </c>
      <c r="H4" s="860"/>
      <c r="I4" s="860"/>
      <c r="J4" s="861"/>
      <c r="K4" s="171"/>
      <c r="L4" s="171"/>
      <c r="M4" s="649" t="s">
        <v>545</v>
      </c>
      <c r="N4" s="649" t="s">
        <v>497</v>
      </c>
      <c r="O4" s="649" t="s">
        <v>498</v>
      </c>
      <c r="P4" s="171"/>
      <c r="Q4" s="171"/>
      <c r="R4" s="171" t="s">
        <v>708</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40" t="s">
        <v>4</v>
      </c>
      <c r="C7" s="741"/>
      <c r="D7" s="741"/>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3" t="s">
        <v>10</v>
      </c>
      <c r="C13" s="744"/>
      <c r="D13" s="744"/>
      <c r="E13" s="171"/>
      <c r="F13" s="171"/>
      <c r="G13" s="171"/>
      <c r="H13" s="171"/>
      <c r="I13" s="171"/>
      <c r="J13" s="171"/>
      <c r="K13" s="171"/>
      <c r="L13" s="171"/>
      <c r="M13" s="196"/>
      <c r="N13" s="196"/>
      <c r="O13" s="8"/>
      <c r="P13" s="171"/>
      <c r="Q13" s="171"/>
      <c r="R13" s="171"/>
      <c r="S13" s="171"/>
      <c r="T13" s="171"/>
      <c r="U13" s="171"/>
      <c r="V13" s="171"/>
      <c r="W13" s="171"/>
    </row>
    <row r="14" spans="2:23" ht="19.95" customHeight="1">
      <c r="B14" s="743" t="s">
        <v>11</v>
      </c>
      <c r="C14" s="744"/>
      <c r="D14" s="744"/>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3" t="s">
        <v>255</v>
      </c>
      <c r="C16" s="744"/>
      <c r="D16" s="744"/>
      <c r="E16" s="171"/>
      <c r="F16" s="171"/>
      <c r="G16" s="171"/>
      <c r="H16" s="171"/>
      <c r="I16" s="171"/>
      <c r="J16" s="171"/>
      <c r="K16" s="171"/>
      <c r="L16" s="171"/>
      <c r="M16" s="196"/>
      <c r="N16" s="196"/>
      <c r="O16" s="8"/>
      <c r="P16" s="171"/>
      <c r="Q16" s="171"/>
      <c r="R16" s="171"/>
      <c r="S16" s="171"/>
      <c r="T16" s="171"/>
      <c r="U16" s="171"/>
      <c r="V16" s="171"/>
      <c r="W16" s="171"/>
    </row>
    <row r="17" spans="2:23" ht="19.95" customHeight="1">
      <c r="B17" s="743" t="s">
        <v>256</v>
      </c>
      <c r="C17" s="744"/>
      <c r="D17" s="744"/>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63" t="s">
        <v>13</v>
      </c>
      <c r="C3" s="863"/>
      <c r="D3" s="863"/>
      <c r="E3" s="863"/>
      <c r="F3" s="863"/>
      <c r="G3" s="863"/>
    </row>
    <row r="4" spans="2:9" ht="22.95" customHeight="1">
      <c r="B4" s="864" t="s">
        <v>234</v>
      </c>
      <c r="C4" s="864"/>
      <c r="D4" s="864"/>
      <c r="E4" s="864"/>
      <c r="F4" s="864"/>
      <c r="G4" s="864"/>
    </row>
    <row r="5" spans="2:9" ht="22.95" customHeight="1">
      <c r="B5" s="865" t="s">
        <v>674</v>
      </c>
      <c r="C5" s="865"/>
      <c r="D5" s="865"/>
      <c r="E5" s="865"/>
      <c r="F5" s="865"/>
      <c r="G5" s="865"/>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0</v>
      </c>
      <c r="F10" s="10"/>
      <c r="G10" s="16">
        <v>0.35</v>
      </c>
      <c r="I10" s="617">
        <f>+E10*G10</f>
        <v>0</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0</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sheetProtection algorithmName="SHA-512" hashValue="0DCcOKwOQ5KV4txxQJUx9e9DGFFIiB1a0h2BZkWDF/Ysl7qCyApXPSzbLUROPp/KIf9M6rMDBP7RqdlCEKO4/Q==" saltValue="58kBapMHl501J5zMDqsZhg=="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63" t="str">
        <f>'Sumaria Ingresos'!B3:E3</f>
        <v>NOMBRE LP</v>
      </c>
      <c r="C2" s="863"/>
      <c r="D2" s="863"/>
      <c r="E2" s="863"/>
      <c r="F2" s="863"/>
      <c r="G2" s="863"/>
      <c r="H2" s="863"/>
      <c r="I2" s="863"/>
      <c r="J2" s="863"/>
      <c r="K2" s="863"/>
    </row>
    <row r="3" spans="2:11" ht="22.95" hidden="1" customHeight="1">
      <c r="B3" s="864" t="s">
        <v>441</v>
      </c>
      <c r="C3" s="864"/>
      <c r="D3" s="864"/>
      <c r="E3" s="864"/>
      <c r="F3" s="864"/>
      <c r="G3" s="864"/>
      <c r="H3" s="864"/>
      <c r="I3" s="864"/>
      <c r="J3" s="864"/>
      <c r="K3" s="864"/>
    </row>
    <row r="4" spans="2:11" ht="22.95" hidden="1" customHeight="1">
      <c r="B4" s="866" t="s">
        <v>442</v>
      </c>
      <c r="C4" s="866"/>
      <c r="D4" s="866"/>
      <c r="E4" s="866"/>
      <c r="F4" s="866"/>
      <c r="G4" s="866"/>
      <c r="H4" s="866"/>
      <c r="I4" s="866"/>
      <c r="J4" s="866"/>
      <c r="K4" s="866"/>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-3.300000000000026E-6</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-4.9415386499999994E-6</v>
      </c>
    </row>
    <row r="23" spans="2:17" ht="22.95" hidden="1" customHeight="1">
      <c r="B23" s="59"/>
      <c r="C23" s="58"/>
      <c r="D23" s="112" t="s">
        <v>22</v>
      </c>
      <c r="E23" s="113" t="s">
        <v>37</v>
      </c>
      <c r="F23" s="61"/>
      <c r="G23" s="62"/>
      <c r="H23" s="61"/>
      <c r="I23" s="62"/>
      <c r="J23" s="41"/>
      <c r="K23" s="115">
        <f>SUM(K18:K22)</f>
        <v>-8.2415386500000254E-6</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-8.2415386500000254E-6</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-8.2415386500000254E-6</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0</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63" t="str">
        <f>+B2</f>
        <v>NOMBRE LP</v>
      </c>
      <c r="C52" s="863"/>
      <c r="D52" s="863"/>
      <c r="E52" s="863"/>
      <c r="F52" s="863"/>
      <c r="G52" s="863"/>
      <c r="H52" s="863"/>
      <c r="I52" s="863"/>
      <c r="J52" s="863"/>
      <c r="K52" s="863"/>
    </row>
    <row r="53" spans="2:11" ht="22.95" hidden="1" customHeight="1">
      <c r="B53" s="864" t="s">
        <v>444</v>
      </c>
      <c r="C53" s="864"/>
      <c r="D53" s="864"/>
      <c r="E53" s="864"/>
      <c r="F53" s="864"/>
      <c r="G53" s="864"/>
      <c r="H53" s="864"/>
      <c r="I53" s="864"/>
      <c r="J53" s="864"/>
      <c r="K53" s="864"/>
    </row>
    <row r="54" spans="2:11" ht="22.95" hidden="1" customHeight="1">
      <c r="B54" s="866" t="str">
        <f>+B4</f>
        <v>INGRESOS OBTENIDOS EN CUENTAS DEL EXTRANJERO</v>
      </c>
      <c r="C54" s="866"/>
      <c r="D54" s="866"/>
      <c r="E54" s="866"/>
      <c r="F54" s="866"/>
      <c r="G54" s="866"/>
      <c r="H54" s="866"/>
      <c r="I54" s="866"/>
      <c r="J54" s="866"/>
      <c r="K54" s="866"/>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67" t="s">
        <v>248</v>
      </c>
      <c r="E79" s="867"/>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sheetProtection algorithmName="SHA-512" hashValue="FLF+2gpmwnYZ4FzL2wATWAUiYYSiAuML5oguC7HL7rLogiq7QFBuzkJkXfRUyWy/pd8//KuLMTyynXuhjhomhA==" saltValue="WJOswvx8DxRvEi3VRKM7rQ=="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63" t="str">
        <f>'1 Ingresos Acum &amp; No Acum'!B2</f>
        <v>NOMBRE LP</v>
      </c>
      <c r="C2" s="863"/>
      <c r="D2" s="863"/>
      <c r="E2" s="863"/>
      <c r="F2" s="863"/>
      <c r="G2" s="863"/>
      <c r="H2" s="863"/>
      <c r="I2" s="863"/>
      <c r="J2" s="863"/>
    </row>
    <row r="3" spans="2:16" s="34" customFormat="1" ht="22.95" customHeight="1">
      <c r="B3" s="864" t="s">
        <v>453</v>
      </c>
      <c r="C3" s="864"/>
      <c r="D3" s="864"/>
      <c r="E3" s="864"/>
      <c r="F3" s="864"/>
      <c r="G3" s="864"/>
      <c r="H3" s="864"/>
      <c r="I3" s="864"/>
      <c r="J3" s="864"/>
    </row>
    <row r="4" spans="2:16" s="34" customFormat="1" ht="22.95" customHeight="1">
      <c r="B4" s="866" t="s">
        <v>443</v>
      </c>
      <c r="C4" s="866"/>
      <c r="D4" s="866"/>
      <c r="E4" s="866"/>
      <c r="F4" s="866"/>
      <c r="G4" s="866"/>
      <c r="H4" s="866"/>
      <c r="I4" s="866"/>
      <c r="J4" s="866"/>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sheetProtection algorithmName="SHA-512" hashValue="4aiLGPf66ZwqTuG8hEFc5pnj8jwSHiZDwg366ZGbdW9dxGIF0sfDrHNwEQtw8P+Lk+O1lsb8OpZpq/NyUgl7tg==" saltValue="qyl9CzZ4D70HGoll9YfeGQ=="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63" t="str">
        <f>'2 Ingresos BMV &amp; SIC'!B2</f>
        <v>NOMBRE LP</v>
      </c>
      <c r="C3" s="863"/>
      <c r="D3" s="863"/>
      <c r="E3" s="863"/>
      <c r="F3" s="863"/>
      <c r="G3" s="863"/>
      <c r="H3" s="863"/>
      <c r="I3" s="863"/>
      <c r="J3" s="863"/>
    </row>
    <row r="4" spans="2:10" s="34" customFormat="1" ht="22.95" customHeight="1">
      <c r="B4" s="864" t="s">
        <v>430</v>
      </c>
      <c r="C4" s="864"/>
      <c r="D4" s="864"/>
      <c r="E4" s="864"/>
      <c r="F4" s="864"/>
      <c r="G4" s="864"/>
      <c r="H4" s="864"/>
      <c r="I4" s="864"/>
      <c r="J4" s="864"/>
    </row>
    <row r="5" spans="2:10" s="34" customFormat="1" ht="22.95" customHeight="1">
      <c r="B5" s="866" t="s">
        <v>439</v>
      </c>
      <c r="C5" s="866"/>
      <c r="D5" s="866"/>
      <c r="E5" s="866"/>
      <c r="F5" s="866"/>
      <c r="G5" s="866"/>
      <c r="H5" s="866"/>
      <c r="I5" s="866"/>
      <c r="J5" s="866"/>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sheetProtection algorithmName="SHA-512" hashValue="+kLK1PeUuqmlZmwdl0lbaR0GzJta7Y6UdJwCJXCKUy6uom6DZnLdVLAvxhPIfX+07ahBf4UHzDigxDh5+VAWgQ==" saltValue="nByMUQxp+SdJy2Oz9zIbKg=="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69" t="s">
        <v>454</v>
      </c>
      <c r="C2" s="869"/>
      <c r="D2" s="869"/>
      <c r="E2" s="869"/>
      <c r="F2" s="869"/>
      <c r="G2" s="869"/>
      <c r="H2" s="869"/>
      <c r="I2" s="869"/>
      <c r="J2" s="616"/>
    </row>
    <row r="3" spans="2:11" ht="19.95" customHeight="1">
      <c r="B3" s="868" t="s">
        <v>445</v>
      </c>
      <c r="C3" s="868"/>
      <c r="D3" s="868"/>
      <c r="E3" s="868"/>
      <c r="F3" s="868"/>
      <c r="G3" s="868"/>
      <c r="H3" s="868"/>
      <c r="I3" s="868"/>
      <c r="J3" s="868"/>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80"/>
      <c r="D6" s="781"/>
      <c r="E6" s="780"/>
      <c r="F6" s="780"/>
      <c r="G6" s="780"/>
      <c r="H6" s="781"/>
      <c r="I6" s="396"/>
      <c r="J6"/>
      <c r="K6"/>
    </row>
    <row r="7" spans="2:11" ht="19.2">
      <c r="B7" s="397" t="s">
        <v>479</v>
      </c>
      <c r="C7" s="780"/>
      <c r="D7" s="781"/>
      <c r="E7" s="780"/>
      <c r="F7" s="780"/>
      <c r="G7" s="780"/>
      <c r="H7" s="781"/>
      <c r="I7" s="396"/>
      <c r="J7"/>
      <c r="K7"/>
    </row>
    <row r="8" spans="2:11" ht="19.2">
      <c r="B8" s="398" t="s">
        <v>479</v>
      </c>
      <c r="C8" s="780"/>
      <c r="D8" s="781"/>
      <c r="E8" s="780"/>
      <c r="F8" s="780"/>
      <c r="G8" s="780"/>
      <c r="H8" s="781"/>
      <c r="I8" s="396"/>
      <c r="J8"/>
      <c r="K8"/>
    </row>
    <row r="9" spans="2:11" ht="19.2">
      <c r="B9" s="399" t="s">
        <v>479</v>
      </c>
      <c r="C9" s="780">
        <v>0</v>
      </c>
      <c r="D9" s="781">
        <v>0</v>
      </c>
      <c r="E9" s="780">
        <v>0</v>
      </c>
      <c r="F9" s="780">
        <v>0</v>
      </c>
      <c r="G9" s="780">
        <v>0</v>
      </c>
      <c r="H9" s="781">
        <v>0</v>
      </c>
      <c r="I9" s="396">
        <v>0</v>
      </c>
      <c r="J9"/>
      <c r="K9"/>
    </row>
    <row r="10" spans="2:11" ht="19.2">
      <c r="B10" s="401" t="s">
        <v>480</v>
      </c>
      <c r="C10" s="782">
        <v>0</v>
      </c>
      <c r="D10" s="783">
        <v>0</v>
      </c>
      <c r="E10" s="782">
        <v>0</v>
      </c>
      <c r="F10" s="782">
        <v>0</v>
      </c>
      <c r="G10" s="782">
        <v>0</v>
      </c>
      <c r="H10" s="783">
        <v>0</v>
      </c>
      <c r="I10" s="402">
        <v>0</v>
      </c>
      <c r="J10"/>
      <c r="K10"/>
    </row>
    <row r="11" spans="2:11" ht="19.2">
      <c r="B11" s="400"/>
      <c r="C11" s="780"/>
      <c r="D11" s="781"/>
      <c r="E11" s="780"/>
      <c r="F11" s="780"/>
      <c r="G11" s="780"/>
      <c r="H11" s="781"/>
      <c r="I11" s="396"/>
      <c r="J11"/>
      <c r="K11"/>
    </row>
    <row r="12" spans="2:11" ht="19.2">
      <c r="B12" s="403" t="s">
        <v>480</v>
      </c>
      <c r="C12" s="784">
        <v>0</v>
      </c>
      <c r="D12" s="785">
        <v>0</v>
      </c>
      <c r="E12" s="784">
        <v>0</v>
      </c>
      <c r="F12" s="784">
        <v>0</v>
      </c>
      <c r="G12" s="784">
        <v>0</v>
      </c>
      <c r="H12" s="785">
        <v>0</v>
      </c>
      <c r="I12" s="404">
        <v>0</v>
      </c>
      <c r="J12"/>
      <c r="K12"/>
    </row>
    <row r="13" spans="2:11" ht="19.2">
      <c r="B13" s="397"/>
      <c r="C13" s="780"/>
      <c r="D13" s="781"/>
      <c r="E13" s="780"/>
      <c r="F13" s="780"/>
      <c r="G13" s="780"/>
      <c r="H13" s="781"/>
      <c r="I13" s="396"/>
      <c r="J13"/>
      <c r="K13"/>
    </row>
    <row r="14" spans="2:11" ht="19.2">
      <c r="B14" s="405" t="s">
        <v>481</v>
      </c>
      <c r="C14" s="788">
        <v>0</v>
      </c>
      <c r="D14" s="789">
        <v>0</v>
      </c>
      <c r="E14" s="788">
        <v>0</v>
      </c>
      <c r="F14" s="788">
        <v>0</v>
      </c>
      <c r="G14" s="788">
        <v>0</v>
      </c>
      <c r="H14" s="789">
        <v>0</v>
      </c>
      <c r="I14" s="406">
        <v>0</v>
      </c>
      <c r="J14"/>
      <c r="K14"/>
    </row>
    <row r="15" spans="2:11" ht="19.2">
      <c r="B15" s="153"/>
      <c r="C15" s="780"/>
      <c r="D15" s="781"/>
      <c r="E15" s="780"/>
      <c r="F15" s="780"/>
      <c r="G15" s="780"/>
      <c r="H15" s="781"/>
      <c r="I15" s="396"/>
      <c r="J15"/>
      <c r="K15"/>
    </row>
    <row r="16" spans="2:11" ht="19.2">
      <c r="B16" s="163" t="s">
        <v>62</v>
      </c>
      <c r="C16" s="790">
        <v>0</v>
      </c>
      <c r="D16" s="791">
        <v>0</v>
      </c>
      <c r="E16" s="790">
        <v>0</v>
      </c>
      <c r="F16" s="790">
        <v>0</v>
      </c>
      <c r="G16" s="790">
        <v>0</v>
      </c>
      <c r="H16" s="791">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sJm2uXjTY72tmkXYUA9nrQaaT+4oHQR0A+E5UxHUdKPyqQ++M4pELI0Bq/JImGAIqYj20kwAdVD7Qtmg11TvOQ==" saltValue="qcunAD4eIp1q7TAkm9r7kQ=="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69" t="s">
        <v>455</v>
      </c>
      <c r="C2" s="869"/>
      <c r="D2" s="869"/>
      <c r="E2" s="869"/>
      <c r="F2" s="869"/>
      <c r="G2" s="869"/>
      <c r="H2" s="869"/>
      <c r="I2" s="869"/>
      <c r="J2" s="160"/>
    </row>
    <row r="3" spans="2:10" ht="22.05" customHeight="1">
      <c r="B3" s="870" t="s">
        <v>447</v>
      </c>
      <c r="C3" s="870"/>
      <c r="D3" s="870"/>
      <c r="E3" s="870"/>
      <c r="F3" s="870"/>
      <c r="G3" s="870"/>
      <c r="H3" s="870"/>
      <c r="I3" s="870"/>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2"/>
      <c r="D6" s="781"/>
      <c r="E6" s="780"/>
      <c r="F6" s="780"/>
      <c r="G6" s="780"/>
      <c r="H6" s="781"/>
      <c r="I6" s="396"/>
      <c r="J6" s="371"/>
    </row>
    <row r="7" spans="2:10" ht="19.2">
      <c r="B7" s="397" t="s">
        <v>479</v>
      </c>
      <c r="C7" s="792"/>
      <c r="D7" s="781"/>
      <c r="E7" s="780"/>
      <c r="F7" s="780"/>
      <c r="G7" s="780"/>
      <c r="H7" s="781"/>
      <c r="I7" s="396"/>
      <c r="J7"/>
    </row>
    <row r="8" spans="2:10" ht="19.2">
      <c r="B8" s="398" t="s">
        <v>479</v>
      </c>
      <c r="C8" s="792"/>
      <c r="D8" s="781"/>
      <c r="E8" s="780"/>
      <c r="F8" s="780"/>
      <c r="G8" s="780"/>
      <c r="H8" s="781"/>
      <c r="I8" s="396"/>
      <c r="J8"/>
    </row>
    <row r="9" spans="2:10" ht="19.2">
      <c r="B9" s="399" t="s">
        <v>479</v>
      </c>
      <c r="C9" s="792">
        <v>0</v>
      </c>
      <c r="D9" s="781">
        <v>0</v>
      </c>
      <c r="E9" s="780">
        <v>0</v>
      </c>
      <c r="F9" s="780">
        <v>0</v>
      </c>
      <c r="G9" s="780">
        <v>0</v>
      </c>
      <c r="H9" s="781">
        <v>0</v>
      </c>
      <c r="I9" s="396">
        <v>0</v>
      </c>
      <c r="J9"/>
    </row>
    <row r="10" spans="2:10" ht="19.2">
      <c r="B10" s="401" t="s">
        <v>480</v>
      </c>
      <c r="C10" s="796">
        <v>0</v>
      </c>
      <c r="D10" s="783">
        <v>0</v>
      </c>
      <c r="E10" s="782">
        <v>0</v>
      </c>
      <c r="F10" s="782">
        <v>0</v>
      </c>
      <c r="G10" s="782">
        <v>0</v>
      </c>
      <c r="H10" s="783">
        <v>0</v>
      </c>
      <c r="I10" s="402">
        <v>0</v>
      </c>
      <c r="J10"/>
    </row>
    <row r="11" spans="2:10" ht="19.2">
      <c r="B11" s="400"/>
      <c r="C11" s="792"/>
      <c r="D11" s="781"/>
      <c r="E11" s="780"/>
      <c r="F11" s="780"/>
      <c r="G11" s="780"/>
      <c r="H11" s="781"/>
      <c r="I11" s="396"/>
      <c r="J11"/>
    </row>
    <row r="12" spans="2:10" ht="19.2">
      <c r="B12" s="403" t="s">
        <v>480</v>
      </c>
      <c r="C12" s="793">
        <v>0</v>
      </c>
      <c r="D12" s="785">
        <v>0</v>
      </c>
      <c r="E12" s="784">
        <v>0</v>
      </c>
      <c r="F12" s="784">
        <v>0</v>
      </c>
      <c r="G12" s="784">
        <v>0</v>
      </c>
      <c r="H12" s="785">
        <v>0</v>
      </c>
      <c r="I12" s="404">
        <v>0</v>
      </c>
      <c r="J12"/>
    </row>
    <row r="13" spans="2:10" ht="19.2">
      <c r="B13" s="397"/>
      <c r="C13" s="792"/>
      <c r="D13" s="781"/>
      <c r="E13" s="780"/>
      <c r="F13" s="780"/>
      <c r="G13" s="780"/>
      <c r="H13" s="781"/>
      <c r="I13" s="396"/>
      <c r="J13"/>
    </row>
    <row r="14" spans="2:10" ht="19.2">
      <c r="B14" s="409" t="s">
        <v>481</v>
      </c>
      <c r="C14" s="794">
        <v>0</v>
      </c>
      <c r="D14" s="787">
        <v>0</v>
      </c>
      <c r="E14" s="786">
        <v>0</v>
      </c>
      <c r="F14" s="786">
        <v>0</v>
      </c>
      <c r="G14" s="786">
        <v>0</v>
      </c>
      <c r="H14" s="787">
        <v>0</v>
      </c>
      <c r="I14" s="410">
        <v>0</v>
      </c>
      <c r="J14"/>
    </row>
    <row r="15" spans="2:10" ht="19.2">
      <c r="B15" s="153"/>
      <c r="C15" s="792"/>
      <c r="D15" s="781"/>
      <c r="E15" s="780"/>
      <c r="F15" s="780"/>
      <c r="G15" s="780"/>
      <c r="H15" s="781"/>
      <c r="I15" s="396"/>
      <c r="J15"/>
    </row>
    <row r="16" spans="2:10" ht="19.2">
      <c r="B16" s="163" t="s">
        <v>62</v>
      </c>
      <c r="C16" s="795">
        <v>0</v>
      </c>
      <c r="D16" s="791">
        <v>0</v>
      </c>
      <c r="E16" s="790">
        <v>0</v>
      </c>
      <c r="F16" s="790">
        <v>0</v>
      </c>
      <c r="G16" s="790">
        <v>0</v>
      </c>
      <c r="H16" s="791">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2v5Ks3LPsiUS+gRfVvluSM8oee1Ine1pKz+/J3tqa+7R+hHFg2+YAjN5CU8A6HCx1RiyGGCOYPEr31P9FVNS0Q==" saltValue="jVRuHjRvRoC1f0nxdJaLhQ=="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71" t="s">
        <v>484</v>
      </c>
      <c r="C2" s="871"/>
      <c r="D2" s="871"/>
      <c r="E2" s="871"/>
      <c r="F2" s="871"/>
      <c r="G2" s="871"/>
      <c r="H2" s="871"/>
      <c r="I2" s="871"/>
      <c r="J2" s="871"/>
      <c r="K2" s="871"/>
      <c r="L2" s="871"/>
      <c r="M2" s="871"/>
      <c r="N2" s="871"/>
      <c r="O2" s="670"/>
      <c r="P2" s="670"/>
      <c r="Q2" s="670"/>
      <c r="R2" s="670"/>
      <c r="S2" s="670"/>
      <c r="T2" s="670"/>
      <c r="U2" s="670"/>
      <c r="V2" s="640"/>
      <c r="W2" s="640"/>
      <c r="X2" s="640"/>
      <c r="Y2" s="640"/>
      <c r="Z2" s="159"/>
    </row>
    <row r="3" spans="2:27" ht="19.2">
      <c r="B3" s="872" t="s">
        <v>448</v>
      </c>
      <c r="C3" s="872"/>
      <c r="D3" s="872"/>
      <c r="E3" s="872"/>
      <c r="F3" s="872"/>
      <c r="G3" s="872"/>
      <c r="H3" s="872"/>
      <c r="I3" s="872"/>
      <c r="J3" s="872"/>
      <c r="K3" s="872"/>
      <c r="L3" s="872"/>
      <c r="M3" s="872"/>
      <c r="N3" s="872"/>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5" t="s">
        <v>479</v>
      </c>
      <c r="H6" s="745" t="s">
        <v>479</v>
      </c>
      <c r="I6" s="750"/>
      <c r="J6" s="697"/>
      <c r="K6" s="697" t="e">
        <v>#N/A</v>
      </c>
      <c r="L6" s="750"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4"/>
      <c r="J7" s="669"/>
      <c r="K7" s="669" t="e">
        <v>#N/A</v>
      </c>
      <c r="L7" s="754" t="e">
        <v>#N/A</v>
      </c>
      <c r="M7" s="706">
        <v>0</v>
      </c>
      <c r="N7" s="669">
        <v>0</v>
      </c>
      <c r="O7"/>
      <c r="P7"/>
      <c r="Q7"/>
      <c r="R7"/>
      <c r="S7"/>
      <c r="T7"/>
      <c r="U7"/>
      <c r="V7"/>
      <c r="W7"/>
      <c r="X7"/>
      <c r="Y7"/>
      <c r="Z7"/>
      <c r="AA7"/>
    </row>
    <row r="8" spans="2:27" ht="16.95" customHeight="1">
      <c r="B8" s="539" t="s">
        <v>659</v>
      </c>
      <c r="C8" s="644">
        <v>0</v>
      </c>
      <c r="D8" s="645" t="s">
        <v>480</v>
      </c>
      <c r="E8" s="645"/>
      <c r="F8" s="645"/>
      <c r="G8" s="645"/>
      <c r="H8" s="645"/>
      <c r="I8" s="758"/>
      <c r="J8" s="662"/>
      <c r="K8" s="662" t="e">
        <v>#N/A</v>
      </c>
      <c r="L8" s="758" t="e">
        <v>#N/A</v>
      </c>
      <c r="M8" s="707">
        <v>0</v>
      </c>
      <c r="N8" s="662">
        <v>0</v>
      </c>
      <c r="O8"/>
      <c r="P8"/>
      <c r="Q8"/>
      <c r="R8"/>
      <c r="S8"/>
      <c r="T8"/>
      <c r="U8"/>
      <c r="V8"/>
      <c r="W8"/>
      <c r="X8"/>
      <c r="Y8"/>
      <c r="Z8"/>
      <c r="AA8"/>
    </row>
    <row r="9" spans="2:27" ht="16.95" customHeight="1">
      <c r="B9" s="539" t="s">
        <v>659</v>
      </c>
      <c r="C9" s="646" t="s">
        <v>481</v>
      </c>
      <c r="D9" s="646"/>
      <c r="E9" s="646"/>
      <c r="F9" s="646"/>
      <c r="G9" s="646"/>
      <c r="H9" s="646"/>
      <c r="I9" s="753"/>
      <c r="J9" s="663"/>
      <c r="K9" s="663" t="e">
        <v>#N/A</v>
      </c>
      <c r="L9" s="753"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5" t="s">
        <v>479</v>
      </c>
      <c r="H10" s="745" t="s">
        <v>479</v>
      </c>
      <c r="I10" s="750"/>
      <c r="J10" s="697"/>
      <c r="K10" s="697"/>
      <c r="L10" s="750"/>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4"/>
      <c r="J11" s="669"/>
      <c r="K11" s="669"/>
      <c r="L11" s="754"/>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5"/>
      <c r="J12" s="698"/>
      <c r="K12" s="698"/>
      <c r="L12" s="755"/>
      <c r="M12" s="708"/>
      <c r="N12" s="698"/>
      <c r="O12"/>
      <c r="P12"/>
      <c r="Q12"/>
      <c r="R12"/>
      <c r="S12"/>
      <c r="T12"/>
      <c r="U12"/>
      <c r="V12"/>
      <c r="W12"/>
      <c r="X12"/>
      <c r="Y12"/>
      <c r="Z12"/>
      <c r="AA12"/>
    </row>
    <row r="13" spans="2:27" ht="16.95" customHeight="1">
      <c r="B13" s="539" t="s">
        <v>479</v>
      </c>
      <c r="C13" s="665" t="s">
        <v>480</v>
      </c>
      <c r="D13" s="665"/>
      <c r="E13" s="665"/>
      <c r="F13" s="665"/>
      <c r="G13" s="665"/>
      <c r="H13" s="665"/>
      <c r="I13" s="756"/>
      <c r="J13" s="699"/>
      <c r="K13" s="699"/>
      <c r="L13" s="756"/>
      <c r="M13" s="699"/>
      <c r="N13" s="699"/>
      <c r="O13"/>
      <c r="P13"/>
      <c r="Q13"/>
      <c r="R13"/>
      <c r="S13"/>
      <c r="T13"/>
      <c r="U13"/>
      <c r="V13"/>
      <c r="W13"/>
      <c r="X13"/>
      <c r="Y13"/>
      <c r="Z13"/>
      <c r="AA13"/>
    </row>
    <row r="14" spans="2:27" ht="16.95" customHeight="1">
      <c r="B14" s="647" t="s">
        <v>230</v>
      </c>
      <c r="C14" s="647"/>
      <c r="D14" s="647"/>
      <c r="E14" s="647"/>
      <c r="F14" s="647"/>
      <c r="G14" s="647"/>
      <c r="H14" s="647"/>
      <c r="I14" s="757"/>
      <c r="J14" s="664"/>
      <c r="K14" s="664" t="e">
        <v>#N/A</v>
      </c>
      <c r="L14" s="757"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sheetProtection algorithmName="SHA-512" hashValue="RTnJ/oI5Fjv9erP02naPQUL1paRgsl8NupMon9JU8kge2EhZ4DfL0f35AntvJVTP4G1V4WMZ1blBNNt9gBqWdQ==" saltValue="vXX2/PTRWNM1MomDTWJCWA==" spinCount="100000" sheet="1" objects="1" scenarios="1"/>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30">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5"/>
      <c r="K6" s="767"/>
      <c r="L6" s="386"/>
      <c r="M6" s="386"/>
      <c r="N6" s="746"/>
      <c r="O6" s="767"/>
      <c r="P6" s="386"/>
      <c r="Q6" s="407"/>
      <c r="R6" s="746"/>
      <c r="S6" s="386"/>
      <c r="T6" s="386"/>
      <c r="U6" s="386"/>
      <c r="V6" s="746"/>
      <c r="W6" s="746"/>
      <c r="X6"/>
      <c r="Y6"/>
    </row>
    <row r="7" spans="2:25" ht="19.2">
      <c r="B7" s="153"/>
      <c r="C7" s="4" t="s">
        <v>479</v>
      </c>
      <c r="D7" s="4"/>
      <c r="E7" s="4"/>
      <c r="F7" s="4"/>
      <c r="G7" s="4"/>
      <c r="H7" s="4"/>
      <c r="I7" s="4"/>
      <c r="J7" s="745"/>
      <c r="K7" s="767"/>
      <c r="L7" s="386"/>
      <c r="M7" s="386"/>
      <c r="N7" s="746"/>
      <c r="O7" s="767"/>
      <c r="P7" s="386"/>
      <c r="Q7" s="407"/>
      <c r="R7" s="746"/>
      <c r="S7" s="386"/>
      <c r="T7" s="386"/>
      <c r="U7" s="386"/>
      <c r="V7" s="746"/>
      <c r="W7" s="746"/>
      <c r="X7"/>
      <c r="Y7"/>
    </row>
    <row r="8" spans="2:25" ht="19.2">
      <c r="B8" s="153"/>
      <c r="D8" s="1" t="s">
        <v>479</v>
      </c>
      <c r="J8" s="745"/>
      <c r="K8" s="767"/>
      <c r="L8" s="386"/>
      <c r="M8" s="386"/>
      <c r="N8" s="746"/>
      <c r="O8" s="767"/>
      <c r="P8" s="386"/>
      <c r="Q8" s="407"/>
      <c r="R8" s="746"/>
      <c r="S8" s="386"/>
      <c r="T8" s="386"/>
      <c r="U8" s="386"/>
      <c r="V8" s="746"/>
      <c r="W8" s="746"/>
      <c r="X8"/>
      <c r="Y8"/>
    </row>
    <row r="9" spans="2:25" ht="19.2">
      <c r="B9" s="153"/>
      <c r="E9" s="1" t="s">
        <v>479</v>
      </c>
      <c r="J9" s="745"/>
      <c r="K9" s="767"/>
      <c r="L9" s="386"/>
      <c r="M9" s="386"/>
      <c r="N9" s="746"/>
      <c r="O9" s="767"/>
      <c r="P9" s="386"/>
      <c r="Q9" s="407"/>
      <c r="R9" s="746"/>
      <c r="S9" s="386"/>
      <c r="T9" s="386"/>
      <c r="U9" s="386"/>
      <c r="V9" s="746"/>
      <c r="W9" s="746"/>
      <c r="X9"/>
      <c r="Y9"/>
    </row>
    <row r="10" spans="2:25" ht="19.2">
      <c r="B10" s="153"/>
      <c r="F10" s="389" t="s">
        <v>479</v>
      </c>
      <c r="G10" s="389"/>
      <c r="H10" s="389"/>
      <c r="I10" s="389"/>
      <c r="J10" s="745"/>
      <c r="K10" s="767"/>
      <c r="L10" s="386"/>
      <c r="M10" s="386"/>
      <c r="N10" s="746"/>
      <c r="O10" s="767"/>
      <c r="P10" s="386"/>
      <c r="Q10" s="407"/>
      <c r="R10" s="746"/>
      <c r="S10" s="386"/>
      <c r="T10" s="386"/>
      <c r="U10" s="386"/>
      <c r="V10" s="746"/>
      <c r="W10" s="746"/>
      <c r="X10"/>
      <c r="Y10"/>
    </row>
    <row r="11" spans="2:25" ht="19.2">
      <c r="B11" s="153"/>
      <c r="G11" s="3" t="s">
        <v>479</v>
      </c>
      <c r="H11" s="3"/>
      <c r="I11" s="3"/>
      <c r="J11" s="745"/>
      <c r="K11" s="767"/>
      <c r="L11" s="386"/>
      <c r="M11" s="386"/>
      <c r="N11" s="746"/>
      <c r="O11" s="767"/>
      <c r="P11" s="386"/>
      <c r="Q11" s="407"/>
      <c r="R11" s="746"/>
      <c r="S11" s="386"/>
      <c r="T11" s="386"/>
      <c r="U11" s="386"/>
      <c r="V11" s="746"/>
      <c r="W11" s="746"/>
      <c r="X11"/>
      <c r="Y11"/>
    </row>
    <row r="12" spans="2:25" ht="19.2">
      <c r="B12" s="153"/>
      <c r="H12" s="390" t="s">
        <v>479</v>
      </c>
      <c r="I12" s="390"/>
      <c r="J12" s="745"/>
      <c r="K12" s="767"/>
      <c r="L12" s="386"/>
      <c r="M12" s="386"/>
      <c r="N12" s="746"/>
      <c r="O12" s="767"/>
      <c r="P12" s="386"/>
      <c r="Q12" s="407"/>
      <c r="R12" s="746"/>
      <c r="S12" s="386"/>
      <c r="T12" s="386"/>
      <c r="U12" s="386"/>
      <c r="V12" s="746"/>
      <c r="W12" s="746"/>
      <c r="X12"/>
      <c r="Y12"/>
    </row>
    <row r="13" spans="2:25" ht="19.2">
      <c r="B13" s="153"/>
      <c r="I13" s="3" t="s">
        <v>479</v>
      </c>
      <c r="J13" s="745"/>
      <c r="K13" s="767"/>
      <c r="L13" s="386">
        <v>0</v>
      </c>
      <c r="M13" s="386">
        <v>0</v>
      </c>
      <c r="N13" s="746">
        <v>0</v>
      </c>
      <c r="O13" s="767"/>
      <c r="P13" s="386">
        <v>0</v>
      </c>
      <c r="Q13" s="407">
        <v>0</v>
      </c>
      <c r="R13" s="746">
        <v>0</v>
      </c>
      <c r="S13" s="386">
        <v>0</v>
      </c>
      <c r="T13" s="386">
        <v>0</v>
      </c>
      <c r="U13" s="386">
        <v>0</v>
      </c>
      <c r="V13" s="746">
        <v>0</v>
      </c>
      <c r="W13" s="746">
        <v>0</v>
      </c>
      <c r="X13"/>
      <c r="Y13"/>
    </row>
    <row r="14" spans="2:25" ht="19.2">
      <c r="J14" s="745"/>
      <c r="K14" s="767"/>
      <c r="L14" s="386"/>
      <c r="M14" s="386"/>
      <c r="N14" s="746"/>
      <c r="O14" s="767"/>
      <c r="P14" s="386"/>
      <c r="Q14" s="407"/>
      <c r="R14" s="746"/>
      <c r="S14" s="386"/>
      <c r="T14" s="386"/>
      <c r="U14" s="386"/>
      <c r="V14" s="746"/>
      <c r="W14" s="746"/>
      <c r="X14"/>
      <c r="Y14"/>
    </row>
    <row r="15" spans="2:25" ht="19.2">
      <c r="B15" s="153"/>
      <c r="E15" s="167" t="s">
        <v>480</v>
      </c>
      <c r="F15" s="167"/>
      <c r="G15" s="167"/>
      <c r="H15" s="167"/>
      <c r="I15" s="167"/>
      <c r="J15" s="768"/>
      <c r="K15" s="769"/>
      <c r="L15" s="415">
        <v>0</v>
      </c>
      <c r="M15" s="423">
        <v>0</v>
      </c>
      <c r="N15" s="759">
        <v>0</v>
      </c>
      <c r="O15" s="769"/>
      <c r="P15" s="415">
        <v>0</v>
      </c>
      <c r="Q15" s="423">
        <v>0</v>
      </c>
      <c r="R15" s="759">
        <v>0</v>
      </c>
      <c r="S15" s="415">
        <v>0</v>
      </c>
      <c r="T15" s="415">
        <v>0</v>
      </c>
      <c r="U15" s="415">
        <v>0</v>
      </c>
      <c r="V15" s="759">
        <v>0</v>
      </c>
      <c r="W15" s="759">
        <v>0</v>
      </c>
      <c r="X15"/>
      <c r="Y15"/>
    </row>
    <row r="16" spans="2:25" ht="19.2">
      <c r="J16" s="745"/>
      <c r="K16" s="767"/>
      <c r="L16" s="386"/>
      <c r="M16" s="386"/>
      <c r="N16" s="746"/>
      <c r="O16" s="767"/>
      <c r="P16" s="386"/>
      <c r="Q16" s="407"/>
      <c r="R16" s="746"/>
      <c r="S16" s="386"/>
      <c r="T16" s="386"/>
      <c r="U16" s="386"/>
      <c r="V16" s="746"/>
      <c r="W16" s="746"/>
      <c r="X16"/>
      <c r="Y16"/>
    </row>
    <row r="17" spans="2:25" ht="19.2">
      <c r="B17" s="153"/>
      <c r="D17" s="408" t="s">
        <v>480</v>
      </c>
      <c r="E17" s="408"/>
      <c r="F17" s="408"/>
      <c r="G17" s="408"/>
      <c r="H17" s="408"/>
      <c r="I17" s="408"/>
      <c r="J17" s="770"/>
      <c r="K17" s="771"/>
      <c r="L17" s="416">
        <v>0</v>
      </c>
      <c r="M17" s="416">
        <v>0</v>
      </c>
      <c r="N17" s="772">
        <v>0</v>
      </c>
      <c r="O17" s="771"/>
      <c r="P17" s="416">
        <v>0</v>
      </c>
      <c r="Q17" s="422">
        <v>0</v>
      </c>
      <c r="R17" s="772">
        <v>0</v>
      </c>
      <c r="S17" s="416">
        <v>0</v>
      </c>
      <c r="T17" s="416">
        <v>0</v>
      </c>
      <c r="U17" s="416">
        <v>0</v>
      </c>
      <c r="V17" s="772">
        <v>0</v>
      </c>
      <c r="W17" s="772">
        <v>0</v>
      </c>
      <c r="X17"/>
      <c r="Y17"/>
    </row>
    <row r="18" spans="2:25" ht="19.2">
      <c r="J18" s="745"/>
      <c r="K18" s="767"/>
      <c r="L18" s="386"/>
      <c r="M18" s="386"/>
      <c r="N18" s="746"/>
      <c r="O18" s="767"/>
      <c r="P18" s="386"/>
      <c r="Q18" s="407"/>
      <c r="R18" s="746"/>
      <c r="S18" s="386"/>
      <c r="T18" s="386"/>
      <c r="U18" s="386"/>
      <c r="V18" s="746"/>
      <c r="W18" s="746"/>
      <c r="X18"/>
      <c r="Y18"/>
    </row>
    <row r="19" spans="2:25" ht="19.2">
      <c r="B19" s="153"/>
      <c r="C19" s="393" t="s">
        <v>480</v>
      </c>
      <c r="D19" s="393"/>
      <c r="E19" s="393"/>
      <c r="F19" s="393"/>
      <c r="G19" s="393"/>
      <c r="H19" s="393"/>
      <c r="I19" s="393"/>
      <c r="J19" s="773"/>
      <c r="K19" s="774"/>
      <c r="L19" s="417">
        <v>0</v>
      </c>
      <c r="M19" s="417">
        <v>0</v>
      </c>
      <c r="N19" s="748">
        <v>0</v>
      </c>
      <c r="O19" s="774"/>
      <c r="P19" s="417">
        <v>0</v>
      </c>
      <c r="Q19" s="421">
        <v>0</v>
      </c>
      <c r="R19" s="748">
        <v>0</v>
      </c>
      <c r="S19" s="417">
        <v>0</v>
      </c>
      <c r="T19" s="417">
        <v>0</v>
      </c>
      <c r="U19" s="417">
        <v>0</v>
      </c>
      <c r="V19" s="748">
        <v>0</v>
      </c>
      <c r="W19" s="748">
        <v>0</v>
      </c>
      <c r="X19"/>
      <c r="Y19"/>
    </row>
    <row r="20" spans="2:25" ht="19.2">
      <c r="J20" s="745"/>
      <c r="K20" s="767"/>
      <c r="L20" s="386"/>
      <c r="M20" s="386"/>
      <c r="N20" s="746"/>
      <c r="O20" s="767"/>
      <c r="P20" s="386"/>
      <c r="Q20" s="407"/>
      <c r="R20" s="746"/>
      <c r="S20" s="386"/>
      <c r="T20" s="386"/>
      <c r="U20" s="386"/>
      <c r="V20" s="746"/>
      <c r="W20" s="746"/>
      <c r="X20"/>
      <c r="Y20"/>
    </row>
    <row r="21" spans="2:25" ht="19.2">
      <c r="B21" s="394" t="s">
        <v>481</v>
      </c>
      <c r="C21" s="394"/>
      <c r="D21" s="394"/>
      <c r="E21" s="394"/>
      <c r="F21" s="394"/>
      <c r="G21" s="394"/>
      <c r="H21" s="394"/>
      <c r="I21" s="394"/>
      <c r="J21" s="775"/>
      <c r="K21" s="776"/>
      <c r="L21" s="418">
        <v>0</v>
      </c>
      <c r="M21" s="418">
        <v>0</v>
      </c>
      <c r="N21" s="749">
        <v>0</v>
      </c>
      <c r="O21" s="776"/>
      <c r="P21" s="418">
        <v>0</v>
      </c>
      <c r="Q21" s="420">
        <v>0</v>
      </c>
      <c r="R21" s="749">
        <v>0</v>
      </c>
      <c r="S21" s="418">
        <v>0</v>
      </c>
      <c r="T21" s="418">
        <v>0</v>
      </c>
      <c r="U21" s="418">
        <v>0</v>
      </c>
      <c r="V21" s="749">
        <v>0</v>
      </c>
      <c r="W21" s="749">
        <v>0</v>
      </c>
      <c r="X21"/>
      <c r="Y21"/>
    </row>
    <row r="22" spans="2:25" ht="19.2">
      <c r="J22" s="745"/>
      <c r="K22" s="767"/>
      <c r="L22" s="386"/>
      <c r="M22" s="386"/>
      <c r="N22" s="746"/>
      <c r="O22" s="767"/>
      <c r="P22" s="386"/>
      <c r="Q22" s="407"/>
      <c r="R22" s="746"/>
      <c r="S22" s="386"/>
      <c r="T22" s="386"/>
      <c r="U22" s="386"/>
      <c r="V22" s="746"/>
      <c r="W22" s="746"/>
      <c r="X22"/>
      <c r="Y22"/>
    </row>
    <row r="23" spans="2:25" ht="19.2">
      <c r="B23" s="168" t="s">
        <v>230</v>
      </c>
      <c r="C23" s="168"/>
      <c r="D23" s="168"/>
      <c r="E23" s="168"/>
      <c r="F23" s="168"/>
      <c r="G23" s="168"/>
      <c r="H23" s="168"/>
      <c r="I23" s="168"/>
      <c r="J23" s="777"/>
      <c r="K23" s="778"/>
      <c r="L23" s="414">
        <v>0</v>
      </c>
      <c r="M23" s="628">
        <v>0</v>
      </c>
      <c r="N23" s="779">
        <v>0</v>
      </c>
      <c r="O23" s="778"/>
      <c r="P23" s="414">
        <v>0</v>
      </c>
      <c r="Q23" s="419">
        <v>0</v>
      </c>
      <c r="R23" s="779">
        <v>0</v>
      </c>
      <c r="S23" s="414">
        <v>0</v>
      </c>
      <c r="T23" s="414">
        <v>0</v>
      </c>
      <c r="U23" s="414">
        <v>0</v>
      </c>
      <c r="V23" s="779">
        <v>0</v>
      </c>
      <c r="W23" s="779">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Ft611p5wT1HekJqSyrjNDYTXM0hku2o3O+BPmyQSi2Rl0cz1JJJe9IbLjrRFtyUKS7lrtsDkUilgk65BqRmNFg==" saltValue="P/9aS1XdxQkVzUY5rwPM8Q=="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73" t="s">
        <v>484</v>
      </c>
      <c r="C2" s="873"/>
      <c r="D2" s="873"/>
      <c r="E2" s="873"/>
      <c r="F2" s="873"/>
      <c r="G2" s="873"/>
      <c r="H2" s="873"/>
      <c r="I2" s="873"/>
      <c r="J2" s="873"/>
      <c r="K2" s="873"/>
      <c r="L2" s="873"/>
      <c r="M2" s="873"/>
      <c r="N2" s="873"/>
      <c r="O2" s="873"/>
      <c r="P2" s="873"/>
      <c r="Q2" s="873"/>
      <c r="R2" s="873"/>
      <c r="S2" s="873"/>
      <c r="T2" s="873"/>
      <c r="U2" s="873"/>
      <c r="V2" s="873"/>
      <c r="W2" s="873"/>
      <c r="X2" s="873"/>
      <c r="Y2" s="873"/>
      <c r="Z2" s="638"/>
    </row>
    <row r="3" spans="2:27" ht="22.95" customHeight="1">
      <c r="B3" s="874" t="s">
        <v>448</v>
      </c>
      <c r="C3" s="874"/>
      <c r="D3" s="874"/>
      <c r="E3" s="874"/>
      <c r="F3" s="874"/>
      <c r="G3" s="874"/>
      <c r="H3" s="874"/>
      <c r="I3" s="874"/>
      <c r="J3" s="874"/>
      <c r="K3" s="874"/>
      <c r="L3" s="874"/>
      <c r="M3" s="874"/>
      <c r="N3" s="874"/>
      <c r="O3" s="874"/>
      <c r="P3" s="874"/>
      <c r="Q3" s="874"/>
      <c r="R3" s="874"/>
      <c r="S3" s="874"/>
      <c r="T3" s="874"/>
      <c r="U3" s="874"/>
      <c r="V3" s="874"/>
      <c r="W3" s="874"/>
      <c r="X3" s="874"/>
      <c r="Y3" s="874"/>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6"/>
      <c r="N6" s="385"/>
      <c r="O6" s="386"/>
      <c r="P6" s="766"/>
      <c r="Q6" s="386"/>
      <c r="R6" s="386"/>
      <c r="S6" s="387"/>
      <c r="T6" s="766"/>
      <c r="U6" s="700"/>
      <c r="V6" s="388"/>
      <c r="W6" s="386"/>
      <c r="X6" s="388"/>
      <c r="Y6" s="388"/>
      <c r="Z6"/>
      <c r="AA6"/>
    </row>
    <row r="7" spans="2:27" ht="19.2">
      <c r="B7" s="539"/>
      <c r="C7" s="153">
        <v>0</v>
      </c>
      <c r="D7" s="153"/>
      <c r="E7" s="153"/>
      <c r="F7" s="153"/>
      <c r="G7" s="153"/>
      <c r="H7" s="153"/>
      <c r="I7" s="153"/>
      <c r="J7" s="153"/>
      <c r="K7" s="153"/>
      <c r="L7" s="153"/>
      <c r="M7" s="746"/>
      <c r="N7" s="385"/>
      <c r="O7" s="386"/>
      <c r="P7" s="766"/>
      <c r="Q7" s="386"/>
      <c r="R7" s="386"/>
      <c r="S7" s="387"/>
      <c r="T7" s="766"/>
      <c r="U7" s="700"/>
      <c r="V7" s="388"/>
      <c r="W7" s="386"/>
      <c r="X7" s="388"/>
      <c r="Y7" s="388"/>
      <c r="Z7"/>
      <c r="AA7"/>
    </row>
    <row r="8" spans="2:27" ht="19.2">
      <c r="B8" s="539"/>
      <c r="C8" s="411"/>
      <c r="D8" s="1" t="s">
        <v>479</v>
      </c>
      <c r="M8" s="746"/>
      <c r="N8" s="385"/>
      <c r="O8" s="386"/>
      <c r="P8" s="766"/>
      <c r="Q8" s="386"/>
      <c r="R8" s="386"/>
      <c r="S8" s="387"/>
      <c r="T8" s="766"/>
      <c r="U8" s="700"/>
      <c r="V8" s="388"/>
      <c r="W8" s="386"/>
      <c r="X8" s="388"/>
      <c r="Y8" s="388"/>
      <c r="Z8"/>
      <c r="AA8"/>
    </row>
    <row r="9" spans="2:27" ht="19.2">
      <c r="B9" s="539"/>
      <c r="C9" s="411"/>
      <c r="E9" s="3" t="s">
        <v>479</v>
      </c>
      <c r="F9" s="3"/>
      <c r="G9" s="3"/>
      <c r="H9" s="3"/>
      <c r="I9" s="3"/>
      <c r="J9" s="3"/>
      <c r="K9" s="3"/>
      <c r="L9" s="3"/>
      <c r="M9" s="746"/>
      <c r="N9" s="385"/>
      <c r="O9" s="386"/>
      <c r="P9" s="766"/>
      <c r="Q9" s="386"/>
      <c r="R9" s="386"/>
      <c r="S9" s="387"/>
      <c r="T9" s="766"/>
      <c r="U9" s="700"/>
      <c r="V9" s="388"/>
      <c r="W9" s="386"/>
      <c r="X9" s="388"/>
      <c r="Y9" s="388"/>
      <c r="Z9"/>
      <c r="AA9"/>
    </row>
    <row r="10" spans="2:27" ht="19.2">
      <c r="B10" s="539"/>
      <c r="C10" s="411"/>
      <c r="F10" s="1" t="s">
        <v>479</v>
      </c>
      <c r="M10" s="746"/>
      <c r="N10" s="385"/>
      <c r="O10" s="386"/>
      <c r="P10" s="766"/>
      <c r="Q10" s="386"/>
      <c r="R10" s="386"/>
      <c r="S10" s="387"/>
      <c r="T10" s="766"/>
      <c r="U10" s="700"/>
      <c r="V10" s="388"/>
      <c r="W10" s="386"/>
      <c r="X10" s="388"/>
      <c r="Y10" s="388"/>
      <c r="Z10"/>
      <c r="AA10"/>
    </row>
    <row r="11" spans="2:27" ht="19.2">
      <c r="B11" s="539"/>
      <c r="C11" s="411"/>
      <c r="G11" s="745" t="s">
        <v>479</v>
      </c>
      <c r="H11" s="745"/>
      <c r="I11" s="745"/>
      <c r="J11" s="745"/>
      <c r="K11" s="745"/>
      <c r="L11" s="745"/>
      <c r="M11" s="746"/>
      <c r="N11" s="385"/>
      <c r="O11" s="386"/>
      <c r="P11" s="766"/>
      <c r="Q11" s="386"/>
      <c r="R11" s="386"/>
      <c r="S11" s="387"/>
      <c r="T11" s="766"/>
      <c r="U11" s="700"/>
      <c r="V11" s="388"/>
      <c r="W11" s="386"/>
      <c r="X11" s="388"/>
      <c r="Y11" s="388"/>
      <c r="Z11"/>
      <c r="AA11"/>
    </row>
    <row r="12" spans="2:27" ht="19.2">
      <c r="B12" s="539"/>
      <c r="C12" s="411"/>
      <c r="H12" s="3" t="s">
        <v>479</v>
      </c>
      <c r="I12" s="3"/>
      <c r="J12" s="3"/>
      <c r="K12" s="3"/>
      <c r="L12" s="3"/>
      <c r="M12" s="746"/>
      <c r="N12" s="385"/>
      <c r="O12" s="386"/>
      <c r="P12" s="766"/>
      <c r="Q12" s="386"/>
      <c r="R12" s="386"/>
      <c r="S12" s="387"/>
      <c r="T12" s="766"/>
      <c r="U12" s="700"/>
      <c r="V12" s="388"/>
      <c r="W12" s="386"/>
      <c r="X12" s="388"/>
      <c r="Y12" s="388"/>
      <c r="Z12"/>
      <c r="AA12"/>
    </row>
    <row r="13" spans="2:27" ht="19.2">
      <c r="B13" s="539"/>
      <c r="C13" s="411"/>
      <c r="I13" s="389" t="s">
        <v>479</v>
      </c>
      <c r="J13" s="389"/>
      <c r="K13" s="389"/>
      <c r="L13" s="389"/>
      <c r="M13" s="746"/>
      <c r="N13" s="385"/>
      <c r="O13" s="386"/>
      <c r="P13" s="766"/>
      <c r="Q13" s="386"/>
      <c r="R13" s="386"/>
      <c r="S13" s="387"/>
      <c r="T13" s="766"/>
      <c r="U13" s="700"/>
      <c r="V13" s="388"/>
      <c r="W13" s="386"/>
      <c r="X13" s="388"/>
      <c r="Y13" s="388"/>
      <c r="Z13"/>
      <c r="AA13"/>
    </row>
    <row r="14" spans="2:27" ht="19.2">
      <c r="B14" s="539"/>
      <c r="C14" s="411"/>
      <c r="J14" s="390" t="s">
        <v>479</v>
      </c>
      <c r="K14" s="390"/>
      <c r="L14" s="390"/>
      <c r="M14" s="746"/>
      <c r="N14" s="385"/>
      <c r="O14" s="386"/>
      <c r="P14" s="766"/>
      <c r="Q14" s="386"/>
      <c r="R14" s="386"/>
      <c r="S14" s="387"/>
      <c r="T14" s="766"/>
      <c r="U14" s="700"/>
      <c r="V14" s="388"/>
      <c r="W14" s="386"/>
      <c r="X14" s="388"/>
      <c r="Y14" s="388"/>
      <c r="Z14"/>
      <c r="AA14"/>
    </row>
    <row r="15" spans="2:27" ht="19.2">
      <c r="B15" s="539"/>
      <c r="C15" s="411"/>
      <c r="K15" s="3" t="s">
        <v>479</v>
      </c>
      <c r="L15" s="3"/>
      <c r="M15" s="746"/>
      <c r="N15" s="385"/>
      <c r="O15" s="386"/>
      <c r="P15" s="766"/>
      <c r="Q15" s="386"/>
      <c r="R15" s="386"/>
      <c r="S15" s="387"/>
      <c r="T15" s="766"/>
      <c r="U15" s="700"/>
      <c r="V15" s="388"/>
      <c r="W15" s="386"/>
      <c r="X15" s="388"/>
      <c r="Y15" s="388"/>
      <c r="Z15"/>
      <c r="AA15"/>
    </row>
    <row r="16" spans="2:27" ht="19.2">
      <c r="B16" s="539"/>
      <c r="C16" s="411"/>
      <c r="L16" s="745" t="s">
        <v>479</v>
      </c>
      <c r="M16" s="746"/>
      <c r="N16" s="385" t="e">
        <v>#N/A</v>
      </c>
      <c r="O16" s="386">
        <v>0</v>
      </c>
      <c r="P16" s="766" t="e">
        <v>#N/A</v>
      </c>
      <c r="Q16" s="386">
        <v>0</v>
      </c>
      <c r="R16" s="386">
        <v>0</v>
      </c>
      <c r="S16" s="387">
        <v>0</v>
      </c>
      <c r="T16" s="766" t="e">
        <v>#N/A</v>
      </c>
      <c r="U16" s="700"/>
      <c r="V16" s="388">
        <v>0</v>
      </c>
      <c r="W16" s="386">
        <v>0</v>
      </c>
      <c r="X16" s="388">
        <v>0</v>
      </c>
      <c r="Y16" s="388">
        <v>0</v>
      </c>
      <c r="Z16"/>
      <c r="AA16"/>
    </row>
    <row r="17" spans="2:27" ht="19.2">
      <c r="B17" s="1"/>
      <c r="M17" s="746"/>
      <c r="N17" s="385"/>
      <c r="O17" s="386"/>
      <c r="P17" s="766"/>
      <c r="Q17" s="386"/>
      <c r="R17" s="386"/>
      <c r="S17" s="387"/>
      <c r="T17" s="766"/>
      <c r="U17" s="700"/>
      <c r="V17" s="388"/>
      <c r="W17" s="386"/>
      <c r="X17" s="388"/>
      <c r="Y17" s="388"/>
      <c r="Z17"/>
      <c r="AA17"/>
    </row>
    <row r="18" spans="2:27" ht="19.2">
      <c r="B18" s="539"/>
      <c r="C18" s="411"/>
      <c r="F18" s="671" t="s">
        <v>480</v>
      </c>
      <c r="G18" s="671"/>
      <c r="H18" s="671"/>
      <c r="I18" s="671"/>
      <c r="J18" s="671"/>
      <c r="K18" s="671"/>
      <c r="L18" s="671"/>
      <c r="M18" s="760"/>
      <c r="N18" s="672" t="e">
        <v>#N/A</v>
      </c>
      <c r="O18" s="673">
        <v>0</v>
      </c>
      <c r="P18" s="762" t="e">
        <v>#N/A</v>
      </c>
      <c r="Q18" s="673">
        <v>0</v>
      </c>
      <c r="R18" s="673">
        <v>0</v>
      </c>
      <c r="S18" s="674">
        <v>0</v>
      </c>
      <c r="T18" s="762" t="e">
        <v>#N/A</v>
      </c>
      <c r="U18" s="701"/>
      <c r="V18" s="675">
        <v>0</v>
      </c>
      <c r="W18" s="673">
        <v>0</v>
      </c>
      <c r="X18" s="676">
        <v>0</v>
      </c>
      <c r="Y18" s="676">
        <v>0</v>
      </c>
      <c r="Z18"/>
      <c r="AA18"/>
    </row>
    <row r="19" spans="2:27" ht="19.2">
      <c r="B19" s="1"/>
      <c r="M19" s="746"/>
      <c r="N19" s="385"/>
      <c r="O19" s="386"/>
      <c r="P19" s="766"/>
      <c r="Q19" s="386"/>
      <c r="R19" s="386"/>
      <c r="S19" s="387"/>
      <c r="T19" s="766"/>
      <c r="U19" s="700"/>
      <c r="V19" s="388"/>
      <c r="W19" s="386"/>
      <c r="X19" s="388"/>
      <c r="Y19" s="388"/>
      <c r="Z19"/>
      <c r="AA19"/>
    </row>
    <row r="20" spans="2:27" ht="19.2">
      <c r="B20" s="539"/>
      <c r="C20" s="411"/>
      <c r="E20" s="391" t="s">
        <v>480</v>
      </c>
      <c r="F20" s="391"/>
      <c r="G20" s="391"/>
      <c r="H20" s="391"/>
      <c r="I20" s="391"/>
      <c r="J20" s="391"/>
      <c r="K20" s="391"/>
      <c r="L20" s="391"/>
      <c r="M20" s="747"/>
      <c r="N20" s="427" t="e">
        <v>#N/A</v>
      </c>
      <c r="O20" s="425">
        <v>0</v>
      </c>
      <c r="P20" s="763" t="e">
        <v>#N/A</v>
      </c>
      <c r="Q20" s="425">
        <v>0</v>
      </c>
      <c r="R20" s="425">
        <v>0</v>
      </c>
      <c r="S20" s="426">
        <v>0</v>
      </c>
      <c r="T20" s="763" t="e">
        <v>#N/A</v>
      </c>
      <c r="U20" s="702"/>
      <c r="V20" s="424">
        <v>0</v>
      </c>
      <c r="W20" s="425">
        <v>0</v>
      </c>
      <c r="X20" s="392">
        <v>0</v>
      </c>
      <c r="Y20" s="392">
        <v>0</v>
      </c>
      <c r="Z20"/>
      <c r="AA20"/>
    </row>
    <row r="21" spans="2:27" ht="19.2">
      <c r="B21" s="1"/>
      <c r="M21" s="746"/>
      <c r="N21" s="385"/>
      <c r="O21" s="386"/>
      <c r="P21" s="766"/>
      <c r="Q21" s="386"/>
      <c r="R21" s="386"/>
      <c r="S21" s="387"/>
      <c r="T21" s="766"/>
      <c r="U21" s="700"/>
      <c r="V21" s="388"/>
      <c r="W21" s="386"/>
      <c r="X21" s="388"/>
      <c r="Y21" s="388"/>
      <c r="Z21"/>
      <c r="AA21"/>
    </row>
    <row r="22" spans="2:27" ht="19.2">
      <c r="B22" s="539"/>
      <c r="C22" s="411"/>
      <c r="D22" s="679" t="s">
        <v>480</v>
      </c>
      <c r="E22" s="679"/>
      <c r="F22" s="679"/>
      <c r="G22" s="679"/>
      <c r="H22" s="679"/>
      <c r="I22" s="679"/>
      <c r="J22" s="679"/>
      <c r="K22" s="679"/>
      <c r="L22" s="679"/>
      <c r="M22" s="751"/>
      <c r="N22" s="680" t="e">
        <v>#N/A</v>
      </c>
      <c r="O22" s="681">
        <v>0</v>
      </c>
      <c r="P22" s="764" t="e">
        <v>#N/A</v>
      </c>
      <c r="Q22" s="681">
        <v>0</v>
      </c>
      <c r="R22" s="681">
        <v>0</v>
      </c>
      <c r="S22" s="682">
        <v>0</v>
      </c>
      <c r="T22" s="764" t="e">
        <v>#N/A</v>
      </c>
      <c r="U22" s="703"/>
      <c r="V22" s="684">
        <v>0</v>
      </c>
      <c r="W22" s="681">
        <v>0</v>
      </c>
      <c r="X22" s="683">
        <v>0</v>
      </c>
      <c r="Y22" s="683">
        <v>0</v>
      </c>
      <c r="Z22"/>
      <c r="AA22"/>
    </row>
    <row r="23" spans="2:27" ht="19.2">
      <c r="B23" s="1"/>
      <c r="M23" s="746"/>
      <c r="N23" s="385"/>
      <c r="O23" s="386"/>
      <c r="P23" s="766"/>
      <c r="Q23" s="386"/>
      <c r="R23" s="386"/>
      <c r="S23" s="387"/>
      <c r="T23" s="766"/>
      <c r="U23" s="700"/>
      <c r="V23" s="388"/>
      <c r="W23" s="386"/>
      <c r="X23" s="388"/>
      <c r="Y23" s="388"/>
      <c r="Z23"/>
      <c r="AA23"/>
    </row>
    <row r="24" spans="2:27" ht="19.2">
      <c r="B24" s="539"/>
      <c r="C24" s="665" t="s">
        <v>481</v>
      </c>
      <c r="D24" s="665"/>
      <c r="E24" s="665"/>
      <c r="F24" s="665"/>
      <c r="G24" s="665"/>
      <c r="H24" s="665"/>
      <c r="I24" s="665"/>
      <c r="J24" s="665"/>
      <c r="K24" s="665"/>
      <c r="L24" s="665"/>
      <c r="M24" s="752"/>
      <c r="N24" s="685" t="e">
        <v>#N/A</v>
      </c>
      <c r="O24" s="686">
        <v>0</v>
      </c>
      <c r="P24" s="756" t="e">
        <v>#N/A</v>
      </c>
      <c r="Q24" s="686">
        <v>0</v>
      </c>
      <c r="R24" s="686">
        <v>0</v>
      </c>
      <c r="S24" s="687">
        <v>0</v>
      </c>
      <c r="T24" s="756" t="e">
        <v>#N/A</v>
      </c>
      <c r="U24" s="699"/>
      <c r="V24" s="688">
        <v>0</v>
      </c>
      <c r="W24" s="686">
        <v>0</v>
      </c>
      <c r="X24" s="666">
        <v>0</v>
      </c>
      <c r="Y24" s="666">
        <v>0</v>
      </c>
      <c r="Z24"/>
      <c r="AA24"/>
    </row>
    <row r="25" spans="2:27" ht="19.2">
      <c r="B25" s="1"/>
      <c r="M25" s="746"/>
      <c r="N25" s="385"/>
      <c r="O25" s="386"/>
      <c r="P25" s="766"/>
      <c r="Q25" s="386"/>
      <c r="R25" s="386"/>
      <c r="S25" s="387"/>
      <c r="T25" s="766"/>
      <c r="U25" s="700"/>
      <c r="V25" s="388"/>
      <c r="W25" s="386"/>
      <c r="X25" s="388"/>
      <c r="Y25" s="388"/>
      <c r="Z25"/>
      <c r="AA25"/>
    </row>
    <row r="26" spans="2:27" ht="19.2">
      <c r="B26" s="539" t="s">
        <v>479</v>
      </c>
      <c r="C26" s="539"/>
      <c r="D26" s="539"/>
      <c r="E26" s="539"/>
      <c r="F26" s="539"/>
      <c r="G26" s="539"/>
      <c r="H26" s="539"/>
      <c r="I26" s="539"/>
      <c r="J26" s="539"/>
      <c r="K26" s="539"/>
      <c r="L26" s="539"/>
      <c r="M26" s="746"/>
      <c r="N26" s="385"/>
      <c r="O26" s="386"/>
      <c r="P26" s="766"/>
      <c r="Q26" s="386"/>
      <c r="R26" s="386"/>
      <c r="S26" s="387"/>
      <c r="T26" s="766"/>
      <c r="U26" s="700"/>
      <c r="V26" s="388"/>
      <c r="W26" s="386"/>
      <c r="X26" s="388"/>
      <c r="Y26" s="388"/>
      <c r="Z26"/>
      <c r="AA26"/>
    </row>
    <row r="27" spans="2:27" ht="19.2">
      <c r="B27" s="1"/>
      <c r="C27" s="153" t="s">
        <v>479</v>
      </c>
      <c r="D27" s="153"/>
      <c r="E27" s="153"/>
      <c r="F27" s="153"/>
      <c r="G27" s="153"/>
      <c r="H27" s="153"/>
      <c r="I27" s="153"/>
      <c r="J27" s="153"/>
      <c r="K27" s="153"/>
      <c r="L27" s="153"/>
      <c r="M27" s="746"/>
      <c r="N27" s="385"/>
      <c r="O27" s="386"/>
      <c r="P27" s="766"/>
      <c r="Q27" s="386"/>
      <c r="R27" s="386"/>
      <c r="S27" s="387"/>
      <c r="T27" s="766"/>
      <c r="U27" s="700"/>
      <c r="V27" s="388"/>
      <c r="W27" s="386"/>
      <c r="X27" s="388"/>
      <c r="Y27" s="388"/>
      <c r="Z27"/>
      <c r="AA27"/>
    </row>
    <row r="28" spans="2:27" ht="19.2">
      <c r="B28" s="1"/>
      <c r="C28" s="411"/>
      <c r="D28" s="1" t="s">
        <v>479</v>
      </c>
      <c r="M28" s="746"/>
      <c r="N28" s="385"/>
      <c r="O28" s="386"/>
      <c r="P28" s="766"/>
      <c r="Q28" s="386"/>
      <c r="R28" s="386"/>
      <c r="S28" s="387"/>
      <c r="T28" s="766"/>
      <c r="U28" s="700"/>
      <c r="V28" s="388"/>
      <c r="W28" s="386"/>
      <c r="X28" s="388"/>
      <c r="Y28" s="388"/>
      <c r="Z28"/>
      <c r="AA28"/>
    </row>
    <row r="29" spans="2:27" ht="19.2">
      <c r="B29" s="1"/>
      <c r="C29" s="411"/>
      <c r="E29" s="3" t="s">
        <v>479</v>
      </c>
      <c r="F29" s="3"/>
      <c r="G29" s="3"/>
      <c r="H29" s="3"/>
      <c r="I29" s="3"/>
      <c r="J29" s="3"/>
      <c r="K29" s="3"/>
      <c r="L29" s="3"/>
      <c r="M29" s="746"/>
      <c r="N29" s="385"/>
      <c r="O29" s="386"/>
      <c r="P29" s="766"/>
      <c r="Q29" s="386"/>
      <c r="R29" s="386"/>
      <c r="S29" s="387"/>
      <c r="T29" s="766"/>
      <c r="U29" s="700"/>
      <c r="V29" s="388"/>
      <c r="W29" s="386"/>
      <c r="X29" s="388"/>
      <c r="Y29" s="388"/>
      <c r="Z29"/>
      <c r="AA29"/>
    </row>
    <row r="30" spans="2:27" ht="19.2">
      <c r="B30" s="1"/>
      <c r="C30" s="411"/>
      <c r="F30" s="1" t="s">
        <v>479</v>
      </c>
      <c r="M30" s="746"/>
      <c r="N30" s="385"/>
      <c r="O30" s="386"/>
      <c r="P30" s="766"/>
      <c r="Q30" s="386"/>
      <c r="R30" s="386"/>
      <c r="S30" s="387"/>
      <c r="T30" s="766"/>
      <c r="U30" s="700"/>
      <c r="V30" s="388"/>
      <c r="W30" s="386"/>
      <c r="X30" s="388"/>
      <c r="Y30" s="388"/>
      <c r="Z30"/>
      <c r="AA30"/>
    </row>
    <row r="31" spans="2:27" ht="19.2">
      <c r="B31" s="1"/>
      <c r="C31" s="411"/>
      <c r="G31" s="745" t="s">
        <v>479</v>
      </c>
      <c r="H31" s="745"/>
      <c r="I31" s="745"/>
      <c r="J31" s="745"/>
      <c r="K31" s="745"/>
      <c r="L31" s="745"/>
      <c r="M31" s="746"/>
      <c r="N31" s="385"/>
      <c r="O31" s="386"/>
      <c r="P31" s="766"/>
      <c r="Q31" s="386"/>
      <c r="R31" s="386"/>
      <c r="S31" s="387"/>
      <c r="T31" s="766"/>
      <c r="U31" s="700"/>
      <c r="V31" s="388"/>
      <c r="W31" s="386"/>
      <c r="X31" s="388"/>
      <c r="Y31" s="388"/>
      <c r="Z31"/>
      <c r="AA31"/>
    </row>
    <row r="32" spans="2:27" ht="19.2">
      <c r="B32" s="1"/>
      <c r="C32" s="411"/>
      <c r="H32" s="3" t="s">
        <v>479</v>
      </c>
      <c r="I32" s="3"/>
      <c r="J32" s="3"/>
      <c r="K32" s="3"/>
      <c r="L32" s="3"/>
      <c r="M32" s="746"/>
      <c r="N32" s="385"/>
      <c r="O32" s="386"/>
      <c r="P32" s="766"/>
      <c r="Q32" s="386"/>
      <c r="R32" s="386"/>
      <c r="S32" s="387"/>
      <c r="T32" s="766"/>
      <c r="U32" s="700"/>
      <c r="V32" s="388"/>
      <c r="W32" s="386"/>
      <c r="X32" s="388"/>
      <c r="Y32" s="388"/>
      <c r="Z32"/>
      <c r="AA32"/>
    </row>
    <row r="33" spans="2:27" ht="19.2">
      <c r="B33" s="1"/>
      <c r="C33" s="411"/>
      <c r="I33" s="389" t="s">
        <v>479</v>
      </c>
      <c r="J33" s="389"/>
      <c r="K33" s="389"/>
      <c r="L33" s="389"/>
      <c r="M33" s="746"/>
      <c r="N33" s="385"/>
      <c r="O33" s="386"/>
      <c r="P33" s="766"/>
      <c r="Q33" s="386"/>
      <c r="R33" s="386"/>
      <c r="S33" s="387"/>
      <c r="T33" s="766"/>
      <c r="U33" s="700"/>
      <c r="V33" s="388"/>
      <c r="W33" s="386"/>
      <c r="X33" s="388"/>
      <c r="Y33" s="388"/>
      <c r="Z33"/>
      <c r="AA33"/>
    </row>
    <row r="34" spans="2:27" ht="19.2">
      <c r="B34" s="1"/>
      <c r="C34" s="411"/>
      <c r="J34" s="390" t="s">
        <v>479</v>
      </c>
      <c r="K34" s="390"/>
      <c r="L34" s="390"/>
      <c r="M34" s="746"/>
      <c r="N34" s="385"/>
      <c r="O34" s="386"/>
      <c r="P34" s="766"/>
      <c r="Q34" s="386"/>
      <c r="R34" s="386"/>
      <c r="S34" s="387"/>
      <c r="T34" s="766"/>
      <c r="U34" s="700"/>
      <c r="V34" s="388"/>
      <c r="W34" s="386"/>
      <c r="X34" s="388"/>
      <c r="Y34" s="388"/>
      <c r="Z34"/>
      <c r="AA34"/>
    </row>
    <row r="35" spans="2:27" ht="19.2">
      <c r="B35" s="1"/>
      <c r="C35" s="411"/>
      <c r="K35" s="3" t="s">
        <v>479</v>
      </c>
      <c r="L35" s="3"/>
      <c r="M35" s="746"/>
      <c r="N35" s="385"/>
      <c r="O35" s="386"/>
      <c r="P35" s="766"/>
      <c r="Q35" s="386"/>
      <c r="R35" s="386"/>
      <c r="S35" s="387"/>
      <c r="T35" s="766"/>
      <c r="U35" s="700"/>
      <c r="V35" s="388"/>
      <c r="W35" s="386"/>
      <c r="X35" s="388"/>
      <c r="Y35" s="388"/>
      <c r="Z35"/>
      <c r="AA35"/>
    </row>
    <row r="36" spans="2:27" ht="19.2">
      <c r="B36" s="1"/>
      <c r="C36" s="411"/>
      <c r="L36" s="745" t="s">
        <v>479</v>
      </c>
      <c r="M36" s="746"/>
      <c r="N36" s="385"/>
      <c r="O36" s="386"/>
      <c r="P36" s="766"/>
      <c r="Q36" s="386"/>
      <c r="R36" s="386"/>
      <c r="S36" s="387"/>
      <c r="T36" s="766"/>
      <c r="U36" s="700"/>
      <c r="V36" s="388"/>
      <c r="W36" s="386"/>
      <c r="X36" s="388"/>
      <c r="Y36" s="388"/>
      <c r="Z36"/>
      <c r="AA36"/>
    </row>
    <row r="37" spans="2:27" ht="19.2">
      <c r="B37" s="1"/>
      <c r="M37" s="746"/>
      <c r="N37" s="385"/>
      <c r="O37" s="386"/>
      <c r="P37" s="766"/>
      <c r="Q37" s="386"/>
      <c r="R37" s="386"/>
      <c r="S37" s="387"/>
      <c r="T37" s="766"/>
      <c r="U37" s="700"/>
      <c r="V37" s="388"/>
      <c r="W37" s="386"/>
      <c r="X37" s="388"/>
      <c r="Y37" s="388"/>
      <c r="Z37"/>
      <c r="AA37"/>
    </row>
    <row r="38" spans="2:27" ht="19.2">
      <c r="B38" s="1"/>
      <c r="C38" s="411"/>
      <c r="F38" s="671" t="s">
        <v>480</v>
      </c>
      <c r="G38" s="671"/>
      <c r="H38" s="671"/>
      <c r="I38" s="671"/>
      <c r="J38" s="671"/>
      <c r="K38" s="671"/>
      <c r="L38" s="671"/>
      <c r="M38" s="760"/>
      <c r="N38" s="672"/>
      <c r="O38" s="673"/>
      <c r="P38" s="762"/>
      <c r="Q38" s="677"/>
      <c r="R38" s="677"/>
      <c r="S38" s="678"/>
      <c r="T38" s="762"/>
      <c r="U38" s="704"/>
      <c r="V38" s="675"/>
      <c r="W38" s="673"/>
      <c r="X38" s="676"/>
      <c r="Y38" s="676"/>
      <c r="Z38"/>
      <c r="AA38"/>
    </row>
    <row r="39" spans="2:27" ht="19.2">
      <c r="B39" s="1"/>
      <c r="M39" s="746"/>
      <c r="N39" s="385"/>
      <c r="O39" s="386"/>
      <c r="P39" s="766"/>
      <c r="Q39" s="386"/>
      <c r="R39" s="386"/>
      <c r="S39" s="387"/>
      <c r="T39" s="766"/>
      <c r="U39" s="700"/>
      <c r="V39" s="388"/>
      <c r="W39" s="386"/>
      <c r="X39" s="388"/>
      <c r="Y39" s="388"/>
      <c r="Z39"/>
      <c r="AA39"/>
    </row>
    <row r="40" spans="2:27" ht="19.2">
      <c r="B40" s="1"/>
      <c r="C40" s="411"/>
      <c r="E40" s="391" t="s">
        <v>480</v>
      </c>
      <c r="F40" s="391"/>
      <c r="G40" s="391"/>
      <c r="H40" s="391"/>
      <c r="I40" s="391"/>
      <c r="J40" s="391"/>
      <c r="K40" s="391"/>
      <c r="L40" s="391"/>
      <c r="M40" s="747"/>
      <c r="N40" s="427"/>
      <c r="O40" s="425"/>
      <c r="P40" s="763"/>
      <c r="Q40" s="425"/>
      <c r="R40" s="425"/>
      <c r="S40" s="426"/>
      <c r="T40" s="763"/>
      <c r="U40" s="702"/>
      <c r="V40" s="424"/>
      <c r="W40" s="425"/>
      <c r="X40" s="392"/>
      <c r="Y40" s="392"/>
      <c r="Z40"/>
      <c r="AA40"/>
    </row>
    <row r="41" spans="2:27" ht="19.2">
      <c r="B41" s="1"/>
      <c r="M41" s="746"/>
      <c r="N41" s="385"/>
      <c r="O41" s="386"/>
      <c r="P41" s="766"/>
      <c r="Q41" s="386"/>
      <c r="R41" s="386"/>
      <c r="S41" s="387"/>
      <c r="T41" s="766"/>
      <c r="U41" s="700"/>
      <c r="V41" s="388"/>
      <c r="W41" s="386"/>
      <c r="X41" s="388"/>
      <c r="Y41" s="388"/>
      <c r="Z41"/>
      <c r="AA41"/>
    </row>
    <row r="42" spans="2:27" ht="19.2">
      <c r="B42" s="1"/>
      <c r="C42" s="411"/>
      <c r="D42" s="679" t="s">
        <v>480</v>
      </c>
      <c r="E42" s="679"/>
      <c r="F42" s="679"/>
      <c r="G42" s="679"/>
      <c r="H42" s="679"/>
      <c r="I42" s="679"/>
      <c r="J42" s="679"/>
      <c r="K42" s="679"/>
      <c r="L42" s="679"/>
      <c r="M42" s="751"/>
      <c r="N42" s="680"/>
      <c r="O42" s="681"/>
      <c r="P42" s="764"/>
      <c r="Q42" s="681"/>
      <c r="R42" s="681"/>
      <c r="S42" s="682"/>
      <c r="T42" s="764"/>
      <c r="U42" s="703"/>
      <c r="V42" s="684"/>
      <c r="W42" s="681"/>
      <c r="X42" s="683"/>
      <c r="Y42" s="683"/>
      <c r="Z42"/>
      <c r="AA42"/>
    </row>
    <row r="43" spans="2:27" ht="19.2">
      <c r="B43" s="1"/>
      <c r="M43" s="746"/>
      <c r="N43" s="385"/>
      <c r="O43" s="386"/>
      <c r="P43" s="766"/>
      <c r="Q43" s="386"/>
      <c r="R43" s="386"/>
      <c r="S43" s="387"/>
      <c r="T43" s="766"/>
      <c r="U43" s="700"/>
      <c r="V43" s="388"/>
      <c r="W43" s="386"/>
      <c r="X43" s="388"/>
      <c r="Y43" s="388"/>
      <c r="Z43"/>
      <c r="AA43"/>
    </row>
    <row r="44" spans="2:27" ht="19.2">
      <c r="B44" s="1"/>
      <c r="C44" s="665" t="s">
        <v>480</v>
      </c>
      <c r="D44" s="665"/>
      <c r="E44" s="665"/>
      <c r="F44" s="665"/>
      <c r="G44" s="665"/>
      <c r="H44" s="665"/>
      <c r="I44" s="665"/>
      <c r="J44" s="665"/>
      <c r="K44" s="665"/>
      <c r="L44" s="665"/>
      <c r="M44" s="752"/>
      <c r="N44" s="685"/>
      <c r="O44" s="686"/>
      <c r="P44" s="756"/>
      <c r="Q44" s="686"/>
      <c r="R44" s="686"/>
      <c r="S44" s="687"/>
      <c r="T44" s="756"/>
      <c r="U44" s="699"/>
      <c r="V44" s="688"/>
      <c r="W44" s="686"/>
      <c r="X44" s="666"/>
      <c r="Y44" s="666"/>
      <c r="Z44"/>
      <c r="AA44"/>
    </row>
    <row r="45" spans="2:27" ht="19.2">
      <c r="B45" s="1"/>
      <c r="M45" s="746"/>
      <c r="N45" s="385"/>
      <c r="O45" s="386"/>
      <c r="P45" s="766"/>
      <c r="Q45" s="386"/>
      <c r="R45" s="386"/>
      <c r="S45" s="387"/>
      <c r="T45" s="766"/>
      <c r="U45" s="700"/>
      <c r="V45" s="388"/>
      <c r="W45" s="386"/>
      <c r="X45" s="388"/>
      <c r="Y45" s="388"/>
      <c r="Z45"/>
      <c r="AA45"/>
    </row>
    <row r="46" spans="2:27" ht="19.2">
      <c r="B46" s="689" t="s">
        <v>230</v>
      </c>
      <c r="C46" s="689"/>
      <c r="D46" s="689"/>
      <c r="E46" s="689"/>
      <c r="F46" s="689"/>
      <c r="G46" s="689"/>
      <c r="H46" s="689"/>
      <c r="I46" s="689"/>
      <c r="J46" s="689"/>
      <c r="K46" s="689"/>
      <c r="L46" s="689"/>
      <c r="M46" s="761"/>
      <c r="N46" s="690" t="e">
        <v>#N/A</v>
      </c>
      <c r="O46" s="691">
        <v>0</v>
      </c>
      <c r="P46" s="765" t="e">
        <v>#N/A</v>
      </c>
      <c r="Q46" s="691">
        <v>0</v>
      </c>
      <c r="R46" s="691">
        <v>0</v>
      </c>
      <c r="S46" s="692">
        <v>0</v>
      </c>
      <c r="T46" s="765"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sheetProtection algorithmName="SHA-512" hashValue="RkROTQYz+nDGzNgGSnTg881NhLkN+prywZ0KfZkJMWcTO1tXm9XY+IDa/7O64KZtc8dolT7qURG+eh6Z5hDaQg==" saltValue="6StsvKeS7CH3b3/yI9JBa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view="pageBreakPreview" topLeftCell="E1" zoomScaleNormal="80" zoomScaleSheetLayoutView="100" workbookViewId="0">
      <pane ySplit="6" topLeftCell="A17" activePane="bottomLeft" state="frozen"/>
      <selection pane="bottomLeft" activeCell="G24" sqref="G24"/>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75" t="s">
        <v>636</v>
      </c>
      <c r="C2" s="875"/>
      <c r="D2" s="875"/>
      <c r="E2" s="875"/>
      <c r="F2" s="875"/>
      <c r="G2" s="875"/>
      <c r="H2" s="875"/>
      <c r="I2" s="875"/>
      <c r="J2" s="875"/>
      <c r="K2" s="875"/>
      <c r="P2" s="172" t="s">
        <v>189</v>
      </c>
    </row>
    <row r="3" spans="2:16" ht="22.95" customHeight="1">
      <c r="B3" s="876" t="s">
        <v>637</v>
      </c>
      <c r="C3" s="876"/>
      <c r="D3" s="876"/>
      <c r="E3" s="876"/>
      <c r="F3" s="876"/>
      <c r="G3" s="876"/>
      <c r="H3" s="876"/>
      <c r="I3" s="876"/>
      <c r="J3" s="876"/>
      <c r="K3" s="876"/>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customHeight="1">
      <c r="B8" s="7" t="s">
        <v>3</v>
      </c>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customHeight="1">
      <c r="B9" s="7" t="s">
        <v>4</v>
      </c>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t="s">
        <v>5</v>
      </c>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customHeight="1">
      <c r="B11" s="7" t="s">
        <v>6</v>
      </c>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customHeight="1">
      <c r="B12" s="7" t="s">
        <v>7</v>
      </c>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customHeight="1">
      <c r="B13" s="7" t="s">
        <v>8</v>
      </c>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9" t="s">
        <v>185</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185</v>
      </c>
      <c r="F21" s="806" t="str">
        <f>Cuentas!B7</f>
        <v>B</v>
      </c>
      <c r="G21" s="807">
        <f t="shared" si="2"/>
        <v>0</v>
      </c>
      <c r="H21" s="807"/>
      <c r="I21" s="807">
        <f t="shared" si="3"/>
        <v>0</v>
      </c>
      <c r="J21" s="807"/>
      <c r="K21" s="807">
        <f t="shared" si="4"/>
        <v>0</v>
      </c>
    </row>
    <row r="22" spans="2:11" ht="22.95" customHeight="1">
      <c r="B22"/>
      <c r="C22"/>
      <c r="D22"/>
      <c r="E22" s="805" t="s">
        <v>185</v>
      </c>
      <c r="F22" s="806" t="str">
        <f>Cuentas!B8</f>
        <v>C</v>
      </c>
      <c r="G22" s="807">
        <f t="shared" si="2"/>
        <v>0</v>
      </c>
      <c r="H22" s="807"/>
      <c r="I22" s="807">
        <f t="shared" si="3"/>
        <v>0</v>
      </c>
      <c r="J22" s="807"/>
      <c r="K22" s="807">
        <f t="shared" si="4"/>
        <v>0</v>
      </c>
    </row>
    <row r="23" spans="2:11" ht="22.95" customHeight="1">
      <c r="B23"/>
      <c r="C23"/>
      <c r="D23"/>
      <c r="E23" s="805" t="s">
        <v>185</v>
      </c>
      <c r="F23" s="806" t="str">
        <f>Cuentas!B9</f>
        <v>D</v>
      </c>
      <c r="G23" s="807">
        <f t="shared" si="2"/>
        <v>0</v>
      </c>
      <c r="H23" s="807"/>
      <c r="I23" s="807">
        <f t="shared" si="3"/>
        <v>0</v>
      </c>
      <c r="J23" s="807"/>
      <c r="K23" s="807">
        <f t="shared" si="4"/>
        <v>0</v>
      </c>
    </row>
    <row r="24" spans="2:11" ht="22.95" customHeight="1">
      <c r="B24"/>
      <c r="C24"/>
      <c r="D24"/>
      <c r="E24" s="805" t="s">
        <v>185</v>
      </c>
      <c r="F24" s="806" t="str">
        <f>Cuentas!B10</f>
        <v>E</v>
      </c>
      <c r="G24" s="807">
        <f t="shared" si="2"/>
        <v>0</v>
      </c>
      <c r="H24" s="807"/>
      <c r="I24" s="807">
        <f t="shared" si="3"/>
        <v>0</v>
      </c>
      <c r="J24" s="807"/>
      <c r="K24" s="807">
        <f t="shared" si="4"/>
        <v>0</v>
      </c>
    </row>
    <row r="25" spans="2:11" ht="22.95" customHeight="1">
      <c r="B25"/>
      <c r="C25"/>
      <c r="D25"/>
      <c r="E25" s="805" t="s">
        <v>185</v>
      </c>
      <c r="F25" s="806" t="str">
        <f>Cuentas!B11</f>
        <v>F</v>
      </c>
      <c r="G25" s="807">
        <f t="shared" si="2"/>
        <v>0</v>
      </c>
      <c r="H25" s="807"/>
      <c r="I25" s="807">
        <f t="shared" si="3"/>
        <v>0</v>
      </c>
      <c r="J25" s="807"/>
      <c r="K25" s="807">
        <f t="shared" si="4"/>
        <v>0</v>
      </c>
    </row>
    <row r="26" spans="2:11" ht="22.95" customHeight="1">
      <c r="B26"/>
      <c r="C26"/>
      <c r="D26"/>
      <c r="E26" s="805" t="s">
        <v>185</v>
      </c>
      <c r="F26" s="806" t="str">
        <f>Cuentas!B12</f>
        <v>G</v>
      </c>
      <c r="G26" s="807">
        <f t="shared" si="2"/>
        <v>0</v>
      </c>
      <c r="H26" s="807"/>
      <c r="I26" s="807">
        <f t="shared" si="3"/>
        <v>0</v>
      </c>
      <c r="J26" s="807"/>
      <c r="K26" s="807">
        <f t="shared" si="4"/>
        <v>0</v>
      </c>
    </row>
    <row r="27" spans="2:11" ht="22.95" customHeight="1">
      <c r="B27"/>
      <c r="C27"/>
      <c r="D27"/>
      <c r="E27" s="805" t="s">
        <v>185</v>
      </c>
      <c r="F27" s="806" t="str">
        <f>Cuentas!B13</f>
        <v>H</v>
      </c>
      <c r="G27" s="807">
        <f t="shared" si="2"/>
        <v>0</v>
      </c>
      <c r="H27" s="807"/>
      <c r="I27" s="807">
        <f t="shared" si="3"/>
        <v>0</v>
      </c>
      <c r="J27" s="807"/>
      <c r="K27" s="807">
        <f t="shared" si="4"/>
        <v>0</v>
      </c>
    </row>
    <row r="28" spans="2:11" ht="22.95" customHeight="1">
      <c r="B28"/>
      <c r="C28"/>
      <c r="D28"/>
      <c r="E28" s="805" t="s">
        <v>185</v>
      </c>
      <c r="F28" s="806" t="str">
        <f>Cuentas!B14</f>
        <v>I</v>
      </c>
      <c r="G28" s="807">
        <f t="shared" si="2"/>
        <v>0</v>
      </c>
      <c r="H28" s="807"/>
      <c r="I28" s="807">
        <f t="shared" si="3"/>
        <v>0</v>
      </c>
      <c r="J28" s="807"/>
      <c r="K28" s="807">
        <f t="shared" si="4"/>
        <v>0</v>
      </c>
    </row>
    <row r="29" spans="2:11" ht="22.95" customHeight="1">
      <c r="B29"/>
      <c r="C29"/>
      <c r="D29"/>
      <c r="E29" s="805" t="s">
        <v>185</v>
      </c>
      <c r="F29" s="806" t="str">
        <f>Cuentas!B15</f>
        <v>J</v>
      </c>
      <c r="G29" s="807">
        <f t="shared" si="2"/>
        <v>0</v>
      </c>
      <c r="H29" s="807"/>
      <c r="I29" s="807">
        <f t="shared" si="3"/>
        <v>0</v>
      </c>
      <c r="J29" s="807"/>
      <c r="K29" s="807">
        <f t="shared" si="4"/>
        <v>0</v>
      </c>
    </row>
    <row r="30" spans="2:11" ht="22.95" customHeight="1">
      <c r="B30"/>
      <c r="C30"/>
      <c r="D30"/>
      <c r="E30" s="802" t="s">
        <v>185</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sheetProtection algorithmName="SHA-512" hashValue="Yl8OiZwB0WhJPZwiIU84IQ0W65rD10RKit58pex57GehVF1xEerI56wq9d0cbJkFu7bsFYZPXCl8axaOtJ0gvg==" saltValue="H9W359cDU9TvfcOwgg8e8A=="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52.54296875"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77" t="s">
        <v>666</v>
      </c>
      <c r="C2" s="877"/>
      <c r="D2" s="877"/>
      <c r="E2" s="877"/>
      <c r="F2" s="877"/>
      <c r="G2" s="877"/>
      <c r="H2" s="877"/>
      <c r="I2" s="877"/>
      <c r="J2" s="877"/>
      <c r="K2" s="877"/>
      <c r="O2" s="172" t="s">
        <v>190</v>
      </c>
    </row>
    <row r="3" spans="2:15" ht="22.95" customHeight="1">
      <c r="B3" s="876" t="s">
        <v>638</v>
      </c>
      <c r="C3" s="876"/>
      <c r="D3" s="876"/>
      <c r="E3" s="876"/>
      <c r="F3" s="876"/>
      <c r="G3" s="876"/>
      <c r="H3" s="876"/>
      <c r="I3" s="876"/>
      <c r="J3" s="876"/>
      <c r="K3" s="876"/>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s="799" t="s">
        <v>449</v>
      </c>
      <c r="F20" s="800" t="str">
        <f>Cuentas!B6</f>
        <v>A</v>
      </c>
      <c r="G20" s="801">
        <f t="shared" ref="G20:G30" si="2">SUMIF($B$7:$B$14,F20,$G$7:$G$14)</f>
        <v>0</v>
      </c>
      <c r="H20" s="801"/>
      <c r="I20" s="801">
        <f t="shared" ref="I20:I30" si="3">SUMIF($B$7:$B$14,F20,$I$7:$I$14)</f>
        <v>0</v>
      </c>
      <c r="J20" s="801"/>
      <c r="K20" s="801">
        <f t="shared" ref="K20:K30" si="4">SUMIF($B$7:$B$14,F20,$K$7:$K$14)</f>
        <v>0</v>
      </c>
    </row>
    <row r="21" spans="2:15" ht="22.95" customHeight="1">
      <c r="B21"/>
      <c r="C21"/>
      <c r="D21"/>
      <c r="E21" s="805" t="s">
        <v>449</v>
      </c>
      <c r="F21" s="806" t="str">
        <f>Cuentas!B7</f>
        <v>B</v>
      </c>
      <c r="G21" s="807">
        <f t="shared" si="2"/>
        <v>0</v>
      </c>
      <c r="H21" s="807"/>
      <c r="I21" s="807">
        <f t="shared" si="3"/>
        <v>0</v>
      </c>
      <c r="J21" s="807"/>
      <c r="K21" s="807">
        <f t="shared" si="4"/>
        <v>0</v>
      </c>
    </row>
    <row r="22" spans="2:15" ht="22.95" customHeight="1">
      <c r="B22"/>
      <c r="C22"/>
      <c r="D22"/>
      <c r="E22" s="805" t="s">
        <v>449</v>
      </c>
      <c r="F22" s="806" t="str">
        <f>Cuentas!B8</f>
        <v>C</v>
      </c>
      <c r="G22" s="807">
        <f t="shared" si="2"/>
        <v>0</v>
      </c>
      <c r="H22" s="807"/>
      <c r="I22" s="807">
        <f t="shared" si="3"/>
        <v>0</v>
      </c>
      <c r="J22" s="807"/>
      <c r="K22" s="807">
        <f t="shared" si="4"/>
        <v>0</v>
      </c>
    </row>
    <row r="23" spans="2:15" ht="22.95" customHeight="1">
      <c r="B23"/>
      <c r="C23"/>
      <c r="D23"/>
      <c r="E23" s="805" t="s">
        <v>449</v>
      </c>
      <c r="F23" s="806" t="str">
        <f>Cuentas!B9</f>
        <v>D</v>
      </c>
      <c r="G23" s="807">
        <f t="shared" si="2"/>
        <v>0</v>
      </c>
      <c r="H23" s="807"/>
      <c r="I23" s="807">
        <f t="shared" si="3"/>
        <v>0</v>
      </c>
      <c r="J23" s="807"/>
      <c r="K23" s="807">
        <f t="shared" si="4"/>
        <v>0</v>
      </c>
    </row>
    <row r="24" spans="2:15" ht="22.95" customHeight="1">
      <c r="B24"/>
      <c r="C24"/>
      <c r="D24"/>
      <c r="E24" s="805" t="s">
        <v>449</v>
      </c>
      <c r="F24" s="806" t="str">
        <f>Cuentas!B10</f>
        <v>E</v>
      </c>
      <c r="G24" s="807">
        <f t="shared" si="2"/>
        <v>0</v>
      </c>
      <c r="H24" s="807"/>
      <c r="I24" s="807">
        <f t="shared" si="3"/>
        <v>0</v>
      </c>
      <c r="J24" s="807"/>
      <c r="K24" s="807">
        <f t="shared" si="4"/>
        <v>0</v>
      </c>
    </row>
    <row r="25" spans="2:15" ht="22.95" customHeight="1">
      <c r="B25"/>
      <c r="C25"/>
      <c r="D25"/>
      <c r="E25" s="805" t="s">
        <v>449</v>
      </c>
      <c r="F25" s="806" t="str">
        <f>Cuentas!B11</f>
        <v>F</v>
      </c>
      <c r="G25" s="807">
        <f t="shared" si="2"/>
        <v>0</v>
      </c>
      <c r="H25" s="807"/>
      <c r="I25" s="807">
        <f t="shared" si="3"/>
        <v>0</v>
      </c>
      <c r="J25" s="807"/>
      <c r="K25" s="807">
        <f t="shared" si="4"/>
        <v>0</v>
      </c>
    </row>
    <row r="26" spans="2:15" ht="22.95" customHeight="1">
      <c r="B26"/>
      <c r="C26"/>
      <c r="D26"/>
      <c r="E26" s="805" t="s">
        <v>449</v>
      </c>
      <c r="F26" s="806" t="str">
        <f>Cuentas!B12</f>
        <v>G</v>
      </c>
      <c r="G26" s="807">
        <f t="shared" si="2"/>
        <v>0</v>
      </c>
      <c r="H26" s="807"/>
      <c r="I26" s="807">
        <f t="shared" si="3"/>
        <v>0</v>
      </c>
      <c r="J26" s="807"/>
      <c r="K26" s="807">
        <f t="shared" si="4"/>
        <v>0</v>
      </c>
    </row>
    <row r="27" spans="2:15" ht="22.95" customHeight="1">
      <c r="B27"/>
      <c r="C27"/>
      <c r="D27"/>
      <c r="E27" s="805" t="s">
        <v>449</v>
      </c>
      <c r="F27" s="806" t="str">
        <f>Cuentas!B13</f>
        <v>H</v>
      </c>
      <c r="G27" s="807">
        <f t="shared" si="2"/>
        <v>0</v>
      </c>
      <c r="H27" s="807"/>
      <c r="I27" s="807">
        <f t="shared" si="3"/>
        <v>0</v>
      </c>
      <c r="J27" s="807"/>
      <c r="K27" s="807">
        <f t="shared" si="4"/>
        <v>0</v>
      </c>
    </row>
    <row r="28" spans="2:15" ht="22.95" customHeight="1">
      <c r="B28"/>
      <c r="C28"/>
      <c r="D28"/>
      <c r="E28" s="805" t="s">
        <v>449</v>
      </c>
      <c r="F28" s="806" t="str">
        <f>Cuentas!B14</f>
        <v>I</v>
      </c>
      <c r="G28" s="807">
        <f t="shared" si="2"/>
        <v>0</v>
      </c>
      <c r="H28" s="807"/>
      <c r="I28" s="807">
        <f t="shared" si="3"/>
        <v>0</v>
      </c>
      <c r="J28" s="807"/>
      <c r="K28" s="807">
        <f t="shared" si="4"/>
        <v>0</v>
      </c>
    </row>
    <row r="29" spans="2:15" ht="22.95" customHeight="1">
      <c r="B29"/>
      <c r="C29"/>
      <c r="D29"/>
      <c r="E29" s="805" t="s">
        <v>449</v>
      </c>
      <c r="F29" s="806" t="str">
        <f>Cuentas!B15</f>
        <v>J</v>
      </c>
      <c r="G29" s="807">
        <f t="shared" si="2"/>
        <v>0</v>
      </c>
      <c r="H29" s="807"/>
      <c r="I29" s="807">
        <f t="shared" si="3"/>
        <v>0</v>
      </c>
      <c r="J29" s="807"/>
      <c r="K29" s="807">
        <f t="shared" si="4"/>
        <v>0</v>
      </c>
    </row>
    <row r="30" spans="2:15" ht="22.95" customHeight="1">
      <c r="B30"/>
      <c r="C30"/>
      <c r="D30"/>
      <c r="E30" s="802" t="s">
        <v>449</v>
      </c>
      <c r="F30" s="803" t="str">
        <f>Cuentas!B16</f>
        <v>K</v>
      </c>
      <c r="G30" s="804">
        <f t="shared" si="2"/>
        <v>0</v>
      </c>
      <c r="H30" s="804"/>
      <c r="I30" s="804">
        <f t="shared" si="3"/>
        <v>0</v>
      </c>
      <c r="J30" s="804"/>
      <c r="K30" s="804">
        <f t="shared" si="4"/>
        <v>0</v>
      </c>
    </row>
    <row r="31" spans="2:15" ht="22.95" customHeight="1">
      <c r="B31"/>
      <c r="C31"/>
      <c r="D31"/>
      <c r="E31" s="798"/>
      <c r="F31" s="798"/>
      <c r="G31" s="797"/>
      <c r="H31" s="797"/>
      <c r="I31" s="797"/>
      <c r="J31" s="797"/>
      <c r="K31" s="797"/>
    </row>
    <row r="32" spans="2:15"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sheetProtection algorithmName="SHA-512" hashValue="aNCf0r75kODZrlsqY2pZWQ7t/nz48+hi3krWVJUEinBx8ibm5sXwj84aAX8zIsX6D46+j0LhrztkKz7FoGzrpw==" saltValue="74lTDI2lu7mWU6Vmi9HOBQ=="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6"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60.816406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78" t="s">
        <v>639</v>
      </c>
      <c r="C2" s="878"/>
      <c r="D2" s="878"/>
      <c r="E2" s="878"/>
      <c r="F2" s="878"/>
      <c r="G2" s="878"/>
      <c r="H2" s="878"/>
      <c r="I2" s="878"/>
      <c r="J2" s="878"/>
      <c r="K2" s="878"/>
      <c r="T2" s="634" t="s">
        <v>632</v>
      </c>
    </row>
    <row r="3" spans="2:20" ht="22.95" customHeight="1">
      <c r="B3" s="876" t="s">
        <v>638</v>
      </c>
      <c r="C3" s="876"/>
      <c r="D3" s="876"/>
      <c r="E3" s="876"/>
      <c r="F3" s="876"/>
      <c r="G3" s="876"/>
      <c r="H3" s="876"/>
      <c r="I3" s="876"/>
      <c r="J3" s="876"/>
      <c r="K3" s="876"/>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customHeight="1">
      <c r="B8" s="236"/>
      <c r="C8" s="236"/>
      <c r="D8" s="237"/>
      <c r="E8" s="237"/>
      <c r="F8" s="237"/>
      <c r="G8" s="237"/>
      <c r="H8" s="237"/>
      <c r="I8" s="237"/>
      <c r="J8" s="237"/>
      <c r="K8" s="237"/>
    </row>
    <row r="9" spans="2:20" s="171" customFormat="1" ht="22.95"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s="799" t="s">
        <v>186</v>
      </c>
      <c r="F21" s="800" t="str">
        <f>Cuentas!B6</f>
        <v>A</v>
      </c>
      <c r="G21" s="801">
        <f t="shared" ref="G21:G31" si="2">SUMIF($B$7:$B$15,F21,$G$7:$G$15)</f>
        <v>0</v>
      </c>
      <c r="H21" s="801"/>
      <c r="I21" s="801">
        <f t="shared" ref="I21:I31" si="3">SUMIF($B$7:$B$15,F21,$I$7:$I$15)</f>
        <v>0</v>
      </c>
      <c r="J21" s="801"/>
      <c r="K21" s="801">
        <f t="shared" ref="K21:K31" si="4">SUMIF($B$7:$B$15,F21,$K$7:$K$15)</f>
        <v>0</v>
      </c>
    </row>
    <row r="22" spans="2:11" ht="22.95" customHeight="1">
      <c r="B22"/>
      <c r="C22"/>
      <c r="D22"/>
      <c r="E22" s="805" t="s">
        <v>186</v>
      </c>
      <c r="F22" s="806" t="str">
        <f>Cuentas!B7</f>
        <v>B</v>
      </c>
      <c r="G22" s="807">
        <f t="shared" si="2"/>
        <v>0</v>
      </c>
      <c r="H22" s="807"/>
      <c r="I22" s="807">
        <f t="shared" si="3"/>
        <v>0</v>
      </c>
      <c r="J22" s="807"/>
      <c r="K22" s="807">
        <f t="shared" si="4"/>
        <v>0</v>
      </c>
    </row>
    <row r="23" spans="2:11" ht="22.95" customHeight="1">
      <c r="B23"/>
      <c r="C23"/>
      <c r="D23"/>
      <c r="E23" s="805" t="s">
        <v>186</v>
      </c>
      <c r="F23" s="806" t="str">
        <f>Cuentas!B8</f>
        <v>C</v>
      </c>
      <c r="G23" s="807">
        <f t="shared" si="2"/>
        <v>0</v>
      </c>
      <c r="H23" s="807"/>
      <c r="I23" s="807">
        <f t="shared" si="3"/>
        <v>0</v>
      </c>
      <c r="J23" s="807"/>
      <c r="K23" s="807">
        <f t="shared" si="4"/>
        <v>0</v>
      </c>
    </row>
    <row r="24" spans="2:11" ht="22.95" customHeight="1">
      <c r="B24"/>
      <c r="C24"/>
      <c r="D24"/>
      <c r="E24" s="805" t="s">
        <v>186</v>
      </c>
      <c r="F24" s="806" t="str">
        <f>Cuentas!B9</f>
        <v>D</v>
      </c>
      <c r="G24" s="807">
        <f t="shared" si="2"/>
        <v>0</v>
      </c>
      <c r="H24" s="807"/>
      <c r="I24" s="807">
        <f t="shared" si="3"/>
        <v>0</v>
      </c>
      <c r="J24" s="807"/>
      <c r="K24" s="807">
        <f t="shared" si="4"/>
        <v>0</v>
      </c>
    </row>
    <row r="25" spans="2:11" ht="22.95" customHeight="1">
      <c r="B25"/>
      <c r="C25"/>
      <c r="D25"/>
      <c r="E25" s="805" t="s">
        <v>186</v>
      </c>
      <c r="F25" s="806" t="str">
        <f>Cuentas!B10</f>
        <v>E</v>
      </c>
      <c r="G25" s="807">
        <f t="shared" si="2"/>
        <v>0</v>
      </c>
      <c r="H25" s="807"/>
      <c r="I25" s="807">
        <f t="shared" si="3"/>
        <v>0</v>
      </c>
      <c r="J25" s="807"/>
      <c r="K25" s="807">
        <f t="shared" si="4"/>
        <v>0</v>
      </c>
    </row>
    <row r="26" spans="2:11" ht="22.95" customHeight="1">
      <c r="B26"/>
      <c r="C26"/>
      <c r="D26"/>
      <c r="E26" s="805" t="s">
        <v>186</v>
      </c>
      <c r="F26" s="806" t="str">
        <f>Cuentas!B11</f>
        <v>F</v>
      </c>
      <c r="G26" s="807">
        <f t="shared" si="2"/>
        <v>0</v>
      </c>
      <c r="H26" s="807"/>
      <c r="I26" s="807">
        <f t="shared" si="3"/>
        <v>0</v>
      </c>
      <c r="J26" s="807"/>
      <c r="K26" s="807">
        <f t="shared" si="4"/>
        <v>0</v>
      </c>
    </row>
    <row r="27" spans="2:11" ht="22.95" customHeight="1">
      <c r="B27"/>
      <c r="C27"/>
      <c r="D27"/>
      <c r="E27" s="805" t="s">
        <v>186</v>
      </c>
      <c r="F27" s="806" t="str">
        <f>Cuentas!B12</f>
        <v>G</v>
      </c>
      <c r="G27" s="807">
        <f t="shared" si="2"/>
        <v>0</v>
      </c>
      <c r="H27" s="807"/>
      <c r="I27" s="807">
        <f t="shared" si="3"/>
        <v>0</v>
      </c>
      <c r="J27" s="807"/>
      <c r="K27" s="807">
        <f t="shared" si="4"/>
        <v>0</v>
      </c>
    </row>
    <row r="28" spans="2:11" ht="22.95" customHeight="1">
      <c r="B28"/>
      <c r="C28"/>
      <c r="D28"/>
      <c r="E28" s="805" t="s">
        <v>186</v>
      </c>
      <c r="F28" s="806" t="str">
        <f>Cuentas!B13</f>
        <v>H</v>
      </c>
      <c r="G28" s="807">
        <f t="shared" si="2"/>
        <v>0</v>
      </c>
      <c r="H28" s="807"/>
      <c r="I28" s="807">
        <f t="shared" si="3"/>
        <v>0</v>
      </c>
      <c r="J28" s="807"/>
      <c r="K28" s="807">
        <f t="shared" si="4"/>
        <v>0</v>
      </c>
    </row>
    <row r="29" spans="2:11" ht="22.95" customHeight="1">
      <c r="B29"/>
      <c r="C29"/>
      <c r="D29"/>
      <c r="E29" s="805" t="s">
        <v>186</v>
      </c>
      <c r="F29" s="806" t="str">
        <f>Cuentas!B14</f>
        <v>I</v>
      </c>
      <c r="G29" s="807">
        <f t="shared" si="2"/>
        <v>0</v>
      </c>
      <c r="H29" s="807"/>
      <c r="I29" s="807">
        <f t="shared" si="3"/>
        <v>0</v>
      </c>
      <c r="J29" s="807"/>
      <c r="K29" s="807">
        <f t="shared" si="4"/>
        <v>0</v>
      </c>
    </row>
    <row r="30" spans="2:11" ht="22.95" customHeight="1">
      <c r="B30"/>
      <c r="C30"/>
      <c r="D30"/>
      <c r="E30" s="805" t="s">
        <v>186</v>
      </c>
      <c r="F30" s="806" t="str">
        <f>Cuentas!B15</f>
        <v>J</v>
      </c>
      <c r="G30" s="807">
        <f t="shared" si="2"/>
        <v>0</v>
      </c>
      <c r="H30" s="807"/>
      <c r="I30" s="807">
        <f t="shared" si="3"/>
        <v>0</v>
      </c>
      <c r="J30" s="807"/>
      <c r="K30" s="807">
        <f t="shared" si="4"/>
        <v>0</v>
      </c>
    </row>
    <row r="31" spans="2:11" ht="22.95" customHeight="1">
      <c r="B31"/>
      <c r="C31"/>
      <c r="D31"/>
      <c r="E31" s="802" t="s">
        <v>186</v>
      </c>
      <c r="F31" s="803" t="str">
        <f>Cuentas!B16</f>
        <v>K</v>
      </c>
      <c r="G31" s="804">
        <f t="shared" si="2"/>
        <v>0</v>
      </c>
      <c r="H31" s="804"/>
      <c r="I31" s="804">
        <f t="shared" si="3"/>
        <v>0</v>
      </c>
      <c r="J31" s="804"/>
      <c r="K31" s="804">
        <f t="shared" si="4"/>
        <v>0</v>
      </c>
    </row>
    <row r="32" spans="2:11" ht="22.95" customHeight="1">
      <c r="B32"/>
      <c r="C32"/>
      <c r="D32"/>
      <c r="E32" s="798"/>
      <c r="F32" s="798"/>
      <c r="G32" s="797"/>
      <c r="H32" s="797"/>
      <c r="I32" s="797"/>
      <c r="J32" s="797"/>
      <c r="K32" s="797"/>
    </row>
    <row r="33" spans="2:11" ht="22.95" customHeight="1">
      <c r="B33"/>
      <c r="C33"/>
      <c r="D33"/>
      <c r="E33" s="808" t="s">
        <v>364</v>
      </c>
      <c r="F33" s="808"/>
      <c r="G33" s="809">
        <f>SUM($G$21:$G$32)</f>
        <v>0</v>
      </c>
      <c r="H33" s="809"/>
      <c r="I33" s="809">
        <f>SUM($I$21:$I$32)</f>
        <v>0</v>
      </c>
      <c r="J33" s="809"/>
      <c r="K33" s="809">
        <f>SUM($K$21:$K$32)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mFYK6JgSZMrkGkm01VkNhgq9y1ufOVunDi+P/yJOtFyvuQfDo3IHDzsDsVzODgKOkeEF4Tdn0pxasx+AeAxRUQ==" saltValue="PN/cX1VXALXbo61K/XS8GQ=="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79" t="s">
        <v>582</v>
      </c>
      <c r="D2" s="879"/>
      <c r="E2" s="879"/>
      <c r="F2" s="879"/>
      <c r="G2" s="879"/>
      <c r="H2" s="879"/>
      <c r="I2" s="879"/>
      <c r="J2" s="879"/>
      <c r="N2" s="34"/>
      <c r="O2" s="34"/>
      <c r="P2" s="879" t="s">
        <v>583</v>
      </c>
      <c r="Q2" s="879"/>
      <c r="R2" s="879"/>
      <c r="S2" s="879"/>
      <c r="T2" s="879"/>
      <c r="U2" s="879"/>
      <c r="V2" s="879"/>
      <c r="W2" s="879"/>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80" t="s">
        <v>640</v>
      </c>
      <c r="D4" s="880"/>
      <c r="E4" s="880"/>
      <c r="F4" s="880"/>
      <c r="G4" s="372"/>
      <c r="H4" s="880" t="s">
        <v>625</v>
      </c>
      <c r="I4" s="880"/>
      <c r="J4" s="880"/>
      <c r="N4" s="34"/>
      <c r="O4" s="253"/>
      <c r="P4" s="880" t="s">
        <v>640</v>
      </c>
      <c r="Q4" s="880"/>
      <c r="R4" s="880"/>
      <c r="S4" s="880"/>
      <c r="T4" s="630"/>
      <c r="U4" s="880" t="s">
        <v>625</v>
      </c>
      <c r="V4" s="880"/>
      <c r="W4" s="880"/>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1.0000000000000001E-5</v>
      </c>
      <c r="E13" s="554">
        <v>19.863199999999999</v>
      </c>
      <c r="F13" s="47">
        <f>(D13*E13)+'Saldos Cash'!$L$77+'Saldos Cash'!$L$96</f>
        <v>1.9863200000000002E-4</v>
      </c>
      <c r="G13" s="555"/>
      <c r="H13" s="47">
        <f t="shared" si="0"/>
        <v>1.0000000000000001E-5</v>
      </c>
      <c r="I13" s="554">
        <f>TC!F36</f>
        <v>20.567</v>
      </c>
      <c r="J13" s="47">
        <f t="shared" si="1"/>
        <v>5.7280000000000102E-6</v>
      </c>
      <c r="N13" s="34">
        <v>4</v>
      </c>
      <c r="O13" s="51"/>
      <c r="P13" s="64" t="s">
        <v>72</v>
      </c>
      <c r="Q13" s="250">
        <f t="shared" si="4"/>
        <v>1.0000000000000001E-5</v>
      </c>
      <c r="R13" s="554">
        <f t="shared" si="5"/>
        <v>19.863199999999999</v>
      </c>
      <c r="S13" s="47">
        <f>(Q13*R13)+'Saldos Cash'!$L$77+'Saldos Cash'!$L$96</f>
        <v>1.9863200000000002E-4</v>
      </c>
      <c r="T13" s="555"/>
      <c r="U13" s="47">
        <f t="shared" si="2"/>
        <v>1.0000000000000001E-5</v>
      </c>
      <c r="V13" s="554">
        <v>19.863199999999999</v>
      </c>
      <c r="W13" s="47">
        <f t="shared" si="3"/>
        <v>-5.8330000000000101E-6</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2.4402660000000008E-3</v>
      </c>
      <c r="G23" s="559"/>
      <c r="H23" s="560"/>
      <c r="I23" s="217" t="s">
        <v>82</v>
      </c>
      <c r="J23" s="561">
        <f>SUM(J10:J22)</f>
        <v>-3.300000000000026E-6</v>
      </c>
      <c r="N23" s="34"/>
      <c r="O23" s="51"/>
      <c r="P23" s="116"/>
      <c r="Q23" s="116"/>
      <c r="R23" s="557" t="s">
        <v>81</v>
      </c>
      <c r="S23" s="558">
        <f>SUM(S10:S22)</f>
        <v>2.4402660000000008E-3</v>
      </c>
      <c r="T23" s="559"/>
      <c r="U23" s="560"/>
      <c r="V23" s="217" t="s">
        <v>82</v>
      </c>
      <c r="W23" s="561">
        <f>SUM(W10:W22)</f>
        <v>-1.479800000000003E-5</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2.0335550000000007E-4</v>
      </c>
      <c r="G25" s="250"/>
      <c r="H25" s="51"/>
      <c r="I25" s="51"/>
      <c r="J25" s="51"/>
      <c r="N25" s="34"/>
      <c r="O25" s="51"/>
      <c r="P25" s="116"/>
      <c r="Q25" s="116"/>
      <c r="R25" s="557" t="s">
        <v>84</v>
      </c>
      <c r="S25" s="558">
        <f>IF(S24=0,0,S23/S24)</f>
        <v>2.0335550000000007E-4</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-4.9415386499999994E-6</v>
      </c>
      <c r="G27" s="555"/>
      <c r="H27" s="51"/>
      <c r="I27" s="51"/>
      <c r="J27" s="51"/>
      <c r="N27" s="34"/>
      <c r="O27" s="51"/>
      <c r="P27" s="563"/>
      <c r="Q27" s="563"/>
      <c r="R27" s="217" t="s">
        <v>350</v>
      </c>
      <c r="S27" s="561">
        <f>-S25*S26</f>
        <v>-4.9415386499999994E-6</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sheetProtection algorithmName="SHA-512" hashValue="lJv2GiDZskC92qw6X6rfzHdEeHmoVIVz7kvTEdzoXuSbPADbIzxTi3SJg3kX8zjaHTi+qnX9Vp5JrDoXss85cg==" saltValue="FKFe27E2ppdmmPtSCm3NC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view="pageBreakPreview" zoomScale="90" zoomScaleNormal="80" zoomScaleSheetLayoutView="90" workbookViewId="0">
      <selection activeCell="C18" sqref="C18:C28"/>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80" t="str">
        <f>+AAI!C4</f>
        <v>DETERMINACIÓN DEL AJUSTE ANUAL POR INFLACIÓN CONFORME AL TÍTULO IV DE LA LISR</v>
      </c>
      <c r="C10" s="880"/>
      <c r="D10" s="880"/>
      <c r="E10" s="880"/>
      <c r="F10" s="880"/>
      <c r="G10" s="880"/>
      <c r="H10" s="880"/>
      <c r="I10" s="880"/>
      <c r="J10" s="880"/>
      <c r="K10" s="880"/>
      <c r="L10" s="880"/>
      <c r="M10" s="249"/>
    </row>
    <row r="11" spans="2:14" ht="22.95" customHeight="1">
      <c r="B11" s="884" t="str">
        <f>+AAI!C5</f>
        <v>INGRESOS ACUMULABLES CONFORME AL TÍTULO IV, CAPÍTULO VI DE LA LISR</v>
      </c>
      <c r="C11" s="884"/>
      <c r="D11" s="884"/>
      <c r="E11" s="884"/>
      <c r="F11" s="884"/>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hidden="1" customHeight="1">
      <c r="B13" s="249"/>
      <c r="C13" s="881" t="s">
        <v>220</v>
      </c>
      <c r="D13" s="881"/>
      <c r="E13" s="881"/>
      <c r="F13" s="881"/>
      <c r="G13" s="881"/>
      <c r="H13" s="881"/>
      <c r="I13" s="881"/>
      <c r="J13" s="881"/>
      <c r="K13" s="881"/>
      <c r="L13" s="881"/>
      <c r="M13" s="249"/>
      <c r="N13" s="883" t="s">
        <v>354</v>
      </c>
    </row>
    <row r="14" spans="2:14" ht="22.95" hidden="1" customHeight="1">
      <c r="B14" s="251"/>
      <c r="C14" s="255" t="s">
        <v>67</v>
      </c>
      <c r="D14" s="255" t="s">
        <v>67</v>
      </c>
      <c r="E14" s="255" t="s">
        <v>67</v>
      </c>
      <c r="F14" s="255" t="s">
        <v>67</v>
      </c>
      <c r="G14" s="255" t="s">
        <v>67</v>
      </c>
      <c r="H14" s="255" t="s">
        <v>67</v>
      </c>
      <c r="I14" s="255" t="s">
        <v>67</v>
      </c>
      <c r="J14" s="255" t="s">
        <v>67</v>
      </c>
      <c r="K14" s="255" t="s">
        <v>67</v>
      </c>
      <c r="L14" s="882" t="s">
        <v>70</v>
      </c>
      <c r="M14" s="249"/>
      <c r="N14" s="883"/>
    </row>
    <row r="15" spans="2:14" ht="22.95" hidden="1" customHeight="1">
      <c r="C15" s="255" t="s">
        <v>69</v>
      </c>
      <c r="D15" s="255" t="s">
        <v>69</v>
      </c>
      <c r="E15" s="255" t="s">
        <v>69</v>
      </c>
      <c r="F15" s="255" t="s">
        <v>69</v>
      </c>
      <c r="G15" s="255" t="s">
        <v>69</v>
      </c>
      <c r="H15" s="255" t="s">
        <v>69</v>
      </c>
      <c r="I15" s="255" t="s">
        <v>69</v>
      </c>
      <c r="J15" s="255" t="s">
        <v>69</v>
      </c>
      <c r="K15" s="255" t="s">
        <v>69</v>
      </c>
      <c r="L15" s="882"/>
      <c r="M15" s="249"/>
      <c r="N15" s="258">
        <f>+L16+L35+L54+L111+L130</f>
        <v>0</v>
      </c>
    </row>
    <row r="16" spans="2:14" ht="22.95" hidden="1" customHeight="1">
      <c r="B16" s="256" t="s">
        <v>351</v>
      </c>
      <c r="C16" s="257">
        <v>0</v>
      </c>
      <c r="D16" s="257"/>
      <c r="E16" s="257"/>
      <c r="F16" s="257"/>
      <c r="G16" s="257"/>
      <c r="H16" s="257"/>
      <c r="I16" s="257"/>
      <c r="J16" s="257"/>
      <c r="K16" s="257"/>
      <c r="L16" s="257">
        <f t="shared" ref="L16:L28" si="0">SUM(C16:K16)</f>
        <v>0</v>
      </c>
      <c r="M16" s="249"/>
    </row>
    <row r="17" spans="2:14" ht="22.95" hidden="1" customHeight="1">
      <c r="B17" s="256" t="s">
        <v>66</v>
      </c>
      <c r="C17" s="257">
        <v>1.0000000000000001E-5</v>
      </c>
      <c r="D17" s="257"/>
      <c r="E17" s="257"/>
      <c r="F17" s="257"/>
      <c r="G17" s="257"/>
      <c r="H17" s="257"/>
      <c r="I17" s="257"/>
      <c r="J17" s="257"/>
      <c r="K17" s="257"/>
      <c r="L17" s="257">
        <f t="shared" si="0"/>
        <v>1.0000000000000001E-5</v>
      </c>
      <c r="M17" s="249"/>
    </row>
    <row r="18" spans="2:14" ht="22.95" hidden="1" customHeight="1">
      <c r="B18" s="256" t="s">
        <v>68</v>
      </c>
      <c r="C18" s="257">
        <v>1.0000000000000001E-5</v>
      </c>
      <c r="D18" s="257"/>
      <c r="E18" s="257"/>
      <c r="F18" s="257"/>
      <c r="G18" s="257"/>
      <c r="H18" s="257"/>
      <c r="I18" s="257"/>
      <c r="J18" s="257"/>
      <c r="K18" s="257"/>
      <c r="L18" s="257">
        <f t="shared" si="0"/>
        <v>1.0000000000000001E-5</v>
      </c>
      <c r="M18" s="249"/>
    </row>
    <row r="19" spans="2:14" ht="22.95" hidden="1" customHeight="1">
      <c r="B19" s="256" t="s">
        <v>71</v>
      </c>
      <c r="C19" s="257">
        <v>1.0000000000000001E-5</v>
      </c>
      <c r="D19" s="257"/>
      <c r="E19" s="257"/>
      <c r="F19" s="257"/>
      <c r="G19" s="257"/>
      <c r="H19" s="257"/>
      <c r="I19" s="257"/>
      <c r="J19" s="257"/>
      <c r="K19" s="257"/>
      <c r="L19" s="257">
        <f t="shared" si="0"/>
        <v>1.0000000000000001E-5</v>
      </c>
      <c r="M19" s="249"/>
    </row>
    <row r="20" spans="2:14" ht="22.95" hidden="1" customHeight="1">
      <c r="B20" s="256" t="s">
        <v>72</v>
      </c>
      <c r="C20" s="257">
        <v>1.0000000000000001E-5</v>
      </c>
      <c r="D20" s="257"/>
      <c r="E20" s="257"/>
      <c r="F20" s="257"/>
      <c r="G20" s="257"/>
      <c r="H20" s="257"/>
      <c r="I20" s="257"/>
      <c r="J20" s="257"/>
      <c r="K20" s="257"/>
      <c r="L20" s="257">
        <f t="shared" si="0"/>
        <v>1.0000000000000001E-5</v>
      </c>
      <c r="M20" s="249"/>
    </row>
    <row r="21" spans="2:14" ht="22.95" hidden="1" customHeight="1">
      <c r="B21" s="256" t="s">
        <v>73</v>
      </c>
      <c r="C21" s="257">
        <v>1.0000000000000001E-5</v>
      </c>
      <c r="D21" s="257"/>
      <c r="E21" s="257"/>
      <c r="F21" s="257"/>
      <c r="G21" s="257"/>
      <c r="H21" s="257"/>
      <c r="I21" s="257"/>
      <c r="J21" s="257"/>
      <c r="K21" s="257"/>
      <c r="L21" s="257">
        <f t="shared" si="0"/>
        <v>1.0000000000000001E-5</v>
      </c>
      <c r="M21" s="249"/>
    </row>
    <row r="22" spans="2:14" ht="22.95" hidden="1" customHeight="1">
      <c r="B22" s="256" t="s">
        <v>74</v>
      </c>
      <c r="C22" s="257">
        <v>1.0000000000000001E-5</v>
      </c>
      <c r="D22" s="257"/>
      <c r="E22" s="257"/>
      <c r="F22" s="257"/>
      <c r="G22" s="257"/>
      <c r="H22" s="257"/>
      <c r="I22" s="257"/>
      <c r="J22" s="257"/>
      <c r="K22" s="257"/>
      <c r="L22" s="257">
        <f t="shared" si="0"/>
        <v>1.0000000000000001E-5</v>
      </c>
      <c r="M22" s="249"/>
    </row>
    <row r="23" spans="2:14" ht="22.95" hidden="1" customHeight="1">
      <c r="B23" s="256" t="s">
        <v>75</v>
      </c>
      <c r="C23" s="257">
        <v>1.0000000000000001E-5</v>
      </c>
      <c r="D23" s="257"/>
      <c r="E23" s="257"/>
      <c r="F23" s="257"/>
      <c r="G23" s="257"/>
      <c r="H23" s="257"/>
      <c r="I23" s="257"/>
      <c r="J23" s="257"/>
      <c r="K23" s="257"/>
      <c r="L23" s="257">
        <f t="shared" si="0"/>
        <v>1.0000000000000001E-5</v>
      </c>
      <c r="M23" s="249"/>
    </row>
    <row r="24" spans="2:14" ht="22.95" hidden="1" customHeight="1">
      <c r="B24" s="256" t="s">
        <v>76</v>
      </c>
      <c r="C24" s="257">
        <v>1.0000000000000001E-5</v>
      </c>
      <c r="D24" s="257"/>
      <c r="E24" s="257"/>
      <c r="F24" s="257"/>
      <c r="G24" s="257"/>
      <c r="H24" s="257"/>
      <c r="I24" s="257"/>
      <c r="J24" s="257"/>
      <c r="K24" s="257"/>
      <c r="L24" s="257">
        <f t="shared" si="0"/>
        <v>1.0000000000000001E-5</v>
      </c>
      <c r="M24" s="249"/>
    </row>
    <row r="25" spans="2:14" ht="22.95" hidden="1" customHeight="1">
      <c r="B25" s="256" t="s">
        <v>77</v>
      </c>
      <c r="C25" s="257">
        <v>1.0000000000000001E-5</v>
      </c>
      <c r="D25" s="257"/>
      <c r="E25" s="257"/>
      <c r="F25" s="257"/>
      <c r="G25" s="257"/>
      <c r="H25" s="257"/>
      <c r="I25" s="257"/>
      <c r="J25" s="257"/>
      <c r="K25" s="257"/>
      <c r="L25" s="257">
        <f t="shared" si="0"/>
        <v>1.0000000000000001E-5</v>
      </c>
      <c r="M25" s="249"/>
      <c r="N25" s="249"/>
    </row>
    <row r="26" spans="2:14" ht="22.95" hidden="1" customHeight="1">
      <c r="B26" s="256" t="s">
        <v>78</v>
      </c>
      <c r="C26" s="257">
        <v>1.0000000000000001E-5</v>
      </c>
      <c r="D26" s="257"/>
      <c r="E26" s="257"/>
      <c r="F26" s="257"/>
      <c r="G26" s="257"/>
      <c r="H26" s="257"/>
      <c r="I26" s="257"/>
      <c r="J26" s="257"/>
      <c r="K26" s="257"/>
      <c r="L26" s="257">
        <f t="shared" si="0"/>
        <v>1.0000000000000001E-5</v>
      </c>
      <c r="M26" s="249"/>
      <c r="N26" s="249"/>
    </row>
    <row r="27" spans="2:14" ht="22.95" hidden="1" customHeight="1">
      <c r="B27" s="256" t="s">
        <v>79</v>
      </c>
      <c r="C27" s="257">
        <v>1.0000000000000001E-5</v>
      </c>
      <c r="D27" s="257"/>
      <c r="E27" s="257"/>
      <c r="F27" s="257"/>
      <c r="G27" s="257"/>
      <c r="H27" s="257"/>
      <c r="I27" s="257"/>
      <c r="J27" s="257"/>
      <c r="K27" s="257"/>
      <c r="L27" s="257">
        <f t="shared" si="0"/>
        <v>1.0000000000000001E-5</v>
      </c>
    </row>
    <row r="28" spans="2:14" ht="22.95" hidden="1" customHeight="1">
      <c r="B28" s="256" t="s">
        <v>80</v>
      </c>
      <c r="C28" s="257">
        <v>1.0000000000000001E-5</v>
      </c>
      <c r="D28" s="257"/>
      <c r="E28" s="257"/>
      <c r="F28" s="257"/>
      <c r="G28" s="257"/>
      <c r="H28" s="257"/>
      <c r="I28" s="257"/>
      <c r="J28" s="257"/>
      <c r="K28" s="257"/>
      <c r="L28" s="257">
        <f t="shared" si="0"/>
        <v>1.0000000000000001E-5</v>
      </c>
    </row>
    <row r="29" spans="2:14" ht="22.95" hidden="1" customHeight="1">
      <c r="B29" s="1"/>
      <c r="C29" s="249"/>
      <c r="D29" s="249"/>
      <c r="E29" s="249"/>
      <c r="F29" s="249"/>
      <c r="G29" s="249"/>
      <c r="H29" s="249"/>
      <c r="I29" s="249"/>
      <c r="J29" s="249"/>
      <c r="K29" s="249"/>
      <c r="L29" s="259">
        <f>SUM(L17:L28)</f>
        <v>1.2E-4</v>
      </c>
    </row>
    <row r="30" spans="2:14" ht="22.95" hidden="1" customHeight="1">
      <c r="C30" s="249"/>
      <c r="D30" s="249"/>
      <c r="E30" s="249"/>
      <c r="F30" s="249"/>
      <c r="G30" s="249"/>
      <c r="H30" s="249"/>
      <c r="I30" s="249"/>
      <c r="J30" s="249"/>
      <c r="K30" s="249"/>
      <c r="L30" s="249"/>
    </row>
    <row r="31" spans="2:14" ht="22.95" hidden="1" customHeight="1">
      <c r="C31" s="249"/>
      <c r="D31" s="249"/>
      <c r="E31" s="249"/>
      <c r="F31" s="249"/>
      <c r="G31" s="249"/>
      <c r="H31" s="249"/>
      <c r="I31" s="249"/>
      <c r="J31" s="249"/>
      <c r="K31" s="249"/>
      <c r="L31" s="249"/>
    </row>
    <row r="32" spans="2:14" ht="22.95" hidden="1" customHeight="1">
      <c r="B32" s="249"/>
      <c r="C32" s="881" t="s">
        <v>220</v>
      </c>
      <c r="D32" s="881"/>
      <c r="E32" s="881"/>
      <c r="F32" s="881"/>
      <c r="G32" s="881"/>
      <c r="H32" s="881"/>
      <c r="I32" s="881"/>
      <c r="J32" s="881"/>
      <c r="K32" s="881"/>
      <c r="L32" s="881"/>
    </row>
    <row r="33" spans="2:12" ht="22.95" hidden="1" customHeight="1">
      <c r="B33" s="251"/>
      <c r="C33" s="255" t="s">
        <v>67</v>
      </c>
      <c r="D33" s="255" t="s">
        <v>67</v>
      </c>
      <c r="E33" s="255" t="s">
        <v>67</v>
      </c>
      <c r="F33" s="255" t="s">
        <v>67</v>
      </c>
      <c r="G33" s="255" t="s">
        <v>67</v>
      </c>
      <c r="H33" s="255" t="s">
        <v>67</v>
      </c>
      <c r="I33" s="255" t="s">
        <v>67</v>
      </c>
      <c r="J33" s="255" t="s">
        <v>67</v>
      </c>
      <c r="K33" s="255" t="s">
        <v>67</v>
      </c>
      <c r="L33" s="882" t="s">
        <v>70</v>
      </c>
    </row>
    <row r="34" spans="2:12" ht="22.95" hidden="1" customHeight="1">
      <c r="C34" s="255" t="s">
        <v>69</v>
      </c>
      <c r="D34" s="255" t="s">
        <v>69</v>
      </c>
      <c r="E34" s="255" t="s">
        <v>69</v>
      </c>
      <c r="F34" s="255" t="s">
        <v>69</v>
      </c>
      <c r="G34" s="255" t="s">
        <v>69</v>
      </c>
      <c r="H34" s="255" t="s">
        <v>69</v>
      </c>
      <c r="I34" s="255" t="s">
        <v>69</v>
      </c>
      <c r="J34" s="255" t="s">
        <v>69</v>
      </c>
      <c r="K34" s="255" t="s">
        <v>69</v>
      </c>
      <c r="L34" s="882"/>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81" t="s">
        <v>220</v>
      </c>
      <c r="D51" s="881"/>
      <c r="E51" s="881"/>
      <c r="F51" s="881"/>
      <c r="G51" s="881"/>
      <c r="H51" s="881"/>
      <c r="I51" s="881"/>
      <c r="J51" s="881"/>
      <c r="K51" s="881"/>
      <c r="L51" s="881"/>
    </row>
    <row r="52" spans="2:12" ht="22.95" hidden="1" customHeight="1">
      <c r="B52" s="251"/>
      <c r="C52" s="255" t="s">
        <v>67</v>
      </c>
      <c r="D52" s="255" t="s">
        <v>67</v>
      </c>
      <c r="E52" s="255" t="s">
        <v>67</v>
      </c>
      <c r="F52" s="255" t="s">
        <v>67</v>
      </c>
      <c r="G52" s="255" t="s">
        <v>67</v>
      </c>
      <c r="H52" s="255" t="s">
        <v>67</v>
      </c>
      <c r="I52" s="255" t="s">
        <v>67</v>
      </c>
      <c r="J52" s="255" t="s">
        <v>67</v>
      </c>
      <c r="K52" s="255" t="s">
        <v>67</v>
      </c>
      <c r="L52" s="882" t="s">
        <v>70</v>
      </c>
    </row>
    <row r="53" spans="2:12" ht="22.95" hidden="1" customHeight="1">
      <c r="C53" s="255" t="s">
        <v>69</v>
      </c>
      <c r="D53" s="255" t="s">
        <v>69</v>
      </c>
      <c r="E53" s="255" t="s">
        <v>69</v>
      </c>
      <c r="F53" s="255" t="s">
        <v>69</v>
      </c>
      <c r="G53" s="255" t="s">
        <v>69</v>
      </c>
      <c r="H53" s="255" t="s">
        <v>69</v>
      </c>
      <c r="I53" s="255" t="s">
        <v>69</v>
      </c>
      <c r="J53" s="255" t="s">
        <v>69</v>
      </c>
      <c r="K53" s="255" t="s">
        <v>69</v>
      </c>
      <c r="L53" s="882"/>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81" t="s">
        <v>221</v>
      </c>
      <c r="D70" s="881"/>
      <c r="E70" s="881"/>
      <c r="F70" s="881"/>
      <c r="G70" s="881"/>
      <c r="H70" s="881"/>
      <c r="I70" s="881"/>
      <c r="J70" s="881"/>
      <c r="K70" s="881"/>
      <c r="L70" s="881"/>
    </row>
    <row r="71" spans="2:12" ht="22.95" hidden="1" customHeight="1">
      <c r="B71" s="251"/>
      <c r="C71" s="255" t="s">
        <v>67</v>
      </c>
      <c r="D71" s="255" t="s">
        <v>67</v>
      </c>
      <c r="E71" s="255" t="s">
        <v>67</v>
      </c>
      <c r="F71" s="255" t="s">
        <v>67</v>
      </c>
      <c r="G71" s="255" t="s">
        <v>67</v>
      </c>
      <c r="H71" s="255" t="s">
        <v>67</v>
      </c>
      <c r="I71" s="255" t="s">
        <v>67</v>
      </c>
      <c r="J71" s="255" t="s">
        <v>67</v>
      </c>
      <c r="K71" s="255" t="s">
        <v>67</v>
      </c>
      <c r="L71" s="882" t="s">
        <v>70</v>
      </c>
    </row>
    <row r="72" spans="2:12" ht="22.95" hidden="1" customHeight="1">
      <c r="C72" s="255" t="s">
        <v>69</v>
      </c>
      <c r="D72" s="255" t="s">
        <v>69</v>
      </c>
      <c r="E72" s="255" t="s">
        <v>69</v>
      </c>
      <c r="F72" s="255" t="s">
        <v>69</v>
      </c>
      <c r="G72" s="255" t="s">
        <v>69</v>
      </c>
      <c r="H72" s="255" t="s">
        <v>69</v>
      </c>
      <c r="I72" s="255" t="s">
        <v>69</v>
      </c>
      <c r="J72" s="255" t="s">
        <v>69</v>
      </c>
      <c r="K72" s="255" t="s">
        <v>69</v>
      </c>
      <c r="L72" s="882"/>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81" t="s">
        <v>221</v>
      </c>
      <c r="D89" s="881"/>
      <c r="E89" s="881"/>
      <c r="F89" s="881"/>
      <c r="G89" s="881"/>
      <c r="H89" s="881"/>
      <c r="I89" s="881"/>
      <c r="J89" s="881"/>
      <c r="K89" s="881"/>
      <c r="L89" s="881"/>
    </row>
    <row r="90" spans="2:12" ht="22.95" hidden="1" customHeight="1">
      <c r="B90" s="251"/>
      <c r="C90" s="255" t="s">
        <v>67</v>
      </c>
      <c r="D90" s="255" t="s">
        <v>67</v>
      </c>
      <c r="E90" s="255" t="s">
        <v>67</v>
      </c>
      <c r="F90" s="255" t="s">
        <v>67</v>
      </c>
      <c r="G90" s="255" t="s">
        <v>67</v>
      </c>
      <c r="H90" s="255" t="s">
        <v>67</v>
      </c>
      <c r="I90" s="255" t="s">
        <v>67</v>
      </c>
      <c r="J90" s="255" t="s">
        <v>67</v>
      </c>
      <c r="K90" s="255" t="s">
        <v>67</v>
      </c>
      <c r="L90" s="882" t="s">
        <v>70</v>
      </c>
    </row>
    <row r="91" spans="2:12" ht="22.95" hidden="1" customHeight="1">
      <c r="C91" s="255" t="s">
        <v>69</v>
      </c>
      <c r="D91" s="255" t="s">
        <v>69</v>
      </c>
      <c r="E91" s="255" t="s">
        <v>69</v>
      </c>
      <c r="F91" s="255" t="s">
        <v>69</v>
      </c>
      <c r="G91" s="255" t="s">
        <v>69</v>
      </c>
      <c r="H91" s="255" t="s">
        <v>69</v>
      </c>
      <c r="I91" s="255" t="s">
        <v>69</v>
      </c>
      <c r="J91" s="255" t="s">
        <v>69</v>
      </c>
      <c r="K91" s="255" t="s">
        <v>69</v>
      </c>
      <c r="L91" s="882"/>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81" t="s">
        <v>352</v>
      </c>
      <c r="D108" s="881"/>
      <c r="E108" s="881"/>
      <c r="F108" s="881"/>
      <c r="G108" s="881"/>
      <c r="H108" s="881"/>
      <c r="I108" s="881"/>
      <c r="J108" s="881"/>
      <c r="K108" s="881"/>
      <c r="L108" s="881"/>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82" t="s">
        <v>70</v>
      </c>
    </row>
    <row r="110" spans="2:12" ht="22.95" hidden="1" customHeight="1">
      <c r="C110" s="255" t="s">
        <v>69</v>
      </c>
      <c r="D110" s="255" t="s">
        <v>69</v>
      </c>
      <c r="E110" s="255" t="s">
        <v>69</v>
      </c>
      <c r="F110" s="255" t="s">
        <v>69</v>
      </c>
      <c r="G110" s="255" t="s">
        <v>69</v>
      </c>
      <c r="H110" s="255" t="s">
        <v>69</v>
      </c>
      <c r="I110" s="255" t="s">
        <v>69</v>
      </c>
      <c r="J110" s="255" t="s">
        <v>69</v>
      </c>
      <c r="K110" s="255" t="s">
        <v>69</v>
      </c>
      <c r="L110" s="882"/>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81" t="s">
        <v>353</v>
      </c>
      <c r="D127" s="881"/>
      <c r="E127" s="881"/>
      <c r="F127" s="881"/>
      <c r="G127" s="881"/>
      <c r="H127" s="881"/>
      <c r="I127" s="881"/>
      <c r="J127" s="881"/>
      <c r="K127" s="881"/>
      <c r="L127" s="881"/>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82" t="s">
        <v>70</v>
      </c>
    </row>
    <row r="129" spans="2:12" ht="22.95" hidden="1" customHeight="1">
      <c r="C129" s="255" t="s">
        <v>69</v>
      </c>
      <c r="D129" s="255" t="s">
        <v>69</v>
      </c>
      <c r="E129" s="255" t="s">
        <v>69</v>
      </c>
      <c r="F129" s="255" t="s">
        <v>69</v>
      </c>
      <c r="G129" s="255" t="s">
        <v>69</v>
      </c>
      <c r="H129" s="255" t="s">
        <v>69</v>
      </c>
      <c r="I129" s="255" t="s">
        <v>69</v>
      </c>
      <c r="J129" s="255" t="s">
        <v>69</v>
      </c>
      <c r="K129" s="255" t="s">
        <v>69</v>
      </c>
      <c r="L129" s="882"/>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sheetProtection algorithmName="SHA-512" hashValue="1P87/QVrFMN51IsF3FY/Qlaj5YtmieuHJkI1CQbKNSIEkiAKQfzeHcwwSYxu0v0+pFUeXaV7e+dbRL1qwyNPhQ==" saltValue="rDxVGOj1M0MKRzi+0w2Rrw==" spinCount="100000" sheet="1" objects="1" scenarios="1"/>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86" t="s">
        <v>526</v>
      </c>
      <c r="C2" s="886"/>
      <c r="D2" s="886"/>
      <c r="E2" s="886"/>
      <c r="F2" s="886"/>
      <c r="G2" s="886"/>
      <c r="H2" s="886"/>
      <c r="I2" s="886"/>
      <c r="J2" s="886"/>
      <c r="K2" s="886"/>
      <c r="L2" s="886"/>
    </row>
    <row r="3" spans="2:14">
      <c r="B3" s="887"/>
      <c r="C3" s="887"/>
      <c r="D3" s="887"/>
      <c r="E3" s="887"/>
      <c r="F3" s="887"/>
      <c r="G3" s="887"/>
      <c r="H3" s="887"/>
      <c r="I3" s="887"/>
    </row>
    <row r="4" spans="2:14">
      <c r="B4" s="432" t="s">
        <v>437</v>
      </c>
      <c r="C4" s="432" t="s">
        <v>669</v>
      </c>
      <c r="D4" s="432"/>
      <c r="E4" s="433"/>
      <c r="F4" s="433"/>
      <c r="G4" s="433"/>
      <c r="H4" s="433"/>
      <c r="I4" s="433"/>
      <c r="J4" s="433"/>
      <c r="K4" s="433"/>
      <c r="L4" s="433"/>
      <c r="M4" s="433"/>
      <c r="N4" s="433"/>
    </row>
    <row r="5" spans="2:14">
      <c r="B5" s="885" t="s">
        <v>523</v>
      </c>
      <c r="C5" s="885"/>
      <c r="D5" s="885"/>
      <c r="E5" s="885"/>
      <c r="F5" s="885"/>
      <c r="G5" s="885"/>
      <c r="H5" s="885"/>
      <c r="I5" s="885"/>
      <c r="J5" s="885"/>
      <c r="K5" s="885"/>
      <c r="L5" s="885"/>
      <c r="M5" s="885"/>
      <c r="N5" s="885"/>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85" t="s">
        <v>523</v>
      </c>
      <c r="C16" s="885"/>
      <c r="D16" s="885"/>
      <c r="E16" s="885"/>
      <c r="F16" s="885"/>
      <c r="G16" s="885"/>
      <c r="H16" s="885"/>
      <c r="I16" s="885"/>
      <c r="J16" s="885"/>
      <c r="K16" s="885"/>
      <c r="L16" s="885"/>
      <c r="M16" s="885"/>
      <c r="N16" s="885"/>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85" t="s">
        <v>523</v>
      </c>
      <c r="C26" s="885"/>
      <c r="D26" s="885"/>
      <c r="E26" s="885"/>
      <c r="F26" s="885"/>
      <c r="G26" s="885"/>
      <c r="H26" s="885"/>
      <c r="I26" s="885"/>
      <c r="J26" s="885"/>
      <c r="K26" s="885"/>
      <c r="L26" s="885"/>
      <c r="M26" s="885"/>
      <c r="N26" s="885"/>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85" t="s">
        <v>523</v>
      </c>
      <c r="C36" s="885"/>
      <c r="D36" s="885"/>
      <c r="E36" s="885"/>
      <c r="F36" s="885"/>
      <c r="G36" s="885"/>
      <c r="H36" s="885"/>
      <c r="I36" s="885"/>
      <c r="J36" s="885"/>
      <c r="K36" s="885"/>
      <c r="L36" s="885"/>
      <c r="M36" s="885"/>
      <c r="N36" s="885"/>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85" t="s">
        <v>523</v>
      </c>
      <c r="C46" s="885"/>
      <c r="D46" s="885"/>
      <c r="E46" s="885"/>
      <c r="F46" s="885"/>
      <c r="G46" s="885"/>
      <c r="H46" s="885"/>
      <c r="I46" s="885"/>
      <c r="J46" s="885"/>
      <c r="K46" s="885"/>
      <c r="L46" s="885"/>
      <c r="M46" s="885"/>
      <c r="N46" s="885"/>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85" t="s">
        <v>523</v>
      </c>
      <c r="C56" s="885"/>
      <c r="D56" s="885"/>
      <c r="E56" s="885"/>
      <c r="F56" s="885"/>
      <c r="G56" s="885"/>
      <c r="H56" s="885"/>
      <c r="I56" s="885"/>
      <c r="J56" s="885"/>
      <c r="K56" s="885"/>
      <c r="L56" s="885"/>
      <c r="M56" s="885"/>
      <c r="N56" s="885"/>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85" t="s">
        <v>523</v>
      </c>
      <c r="C66" s="885"/>
      <c r="D66" s="885"/>
      <c r="E66" s="885"/>
      <c r="F66" s="885"/>
      <c r="G66" s="885"/>
      <c r="H66" s="885"/>
      <c r="I66" s="885"/>
      <c r="J66" s="885"/>
      <c r="K66" s="885"/>
      <c r="L66" s="885"/>
      <c r="M66" s="885"/>
      <c r="N66" s="885"/>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sheetProtection algorithmName="SHA-512" hashValue="0If3haD00CLI+SiNmsmkUh+BwSZwEYS4IZrgc5m0pg5OdU7ryXSALYciYPin2bDLXz26qsh1yNyuht6W8N5ZCA==" saltValue="lkQ4AqoZ0QfZfDUuwIeaB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69" t="s">
        <v>451</v>
      </c>
      <c r="D2" s="869"/>
    </row>
    <row r="3" spans="2:4" ht="22.95" customHeight="1">
      <c r="C3" s="888" t="s">
        <v>665</v>
      </c>
      <c r="D3" s="888"/>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89" t="s">
        <v>89</v>
      </c>
      <c r="C17" s="889"/>
      <c r="D17" s="889"/>
    </row>
  </sheetData>
  <sheetProtection algorithmName="SHA-512" hashValue="opZV7BeY/kwIg73UmJjKpJ7JV/AL2/2JCtSnCGuySeixuQXI+PFG6ForKjl8qaJmvUgjX8eR1r5/9QEX4eKCGQ==" saltValue="8O5JbFPeFU8IP+5rtMW5oQ=="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52.54296875"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90" t="s">
        <v>641</v>
      </c>
      <c r="C2" s="890"/>
      <c r="D2" s="890"/>
      <c r="E2" s="890"/>
      <c r="F2" s="890"/>
      <c r="G2" s="890"/>
      <c r="H2" s="890"/>
      <c r="I2" s="890"/>
      <c r="J2" s="890"/>
      <c r="K2" s="890"/>
      <c r="P2" s="301" t="s">
        <v>633</v>
      </c>
    </row>
    <row r="3" spans="2:16" ht="22.95" customHeight="1">
      <c r="B3" s="888" t="s">
        <v>642</v>
      </c>
      <c r="C3" s="888"/>
      <c r="D3" s="888"/>
      <c r="E3" s="888"/>
      <c r="F3" s="888"/>
      <c r="G3" s="888"/>
      <c r="H3" s="888"/>
      <c r="I3" s="888"/>
      <c r="J3" s="888"/>
      <c r="K3" s="888"/>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s="799" t="s">
        <v>188</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188</v>
      </c>
      <c r="F21" s="806" t="str">
        <f>Cuentas!B7</f>
        <v>B</v>
      </c>
      <c r="G21" s="807">
        <f t="shared" si="2"/>
        <v>0</v>
      </c>
      <c r="H21" s="807"/>
      <c r="I21" s="807">
        <f t="shared" si="3"/>
        <v>0</v>
      </c>
      <c r="J21" s="807"/>
      <c r="K21" s="807">
        <f t="shared" si="4"/>
        <v>0</v>
      </c>
    </row>
    <row r="22" spans="2:11" ht="22.95" customHeight="1">
      <c r="B22"/>
      <c r="C22"/>
      <c r="D22"/>
      <c r="E22" s="805" t="s">
        <v>188</v>
      </c>
      <c r="F22" s="806" t="str">
        <f>Cuentas!B8</f>
        <v>C</v>
      </c>
      <c r="G22" s="807">
        <f t="shared" si="2"/>
        <v>0</v>
      </c>
      <c r="H22" s="807"/>
      <c r="I22" s="807">
        <f t="shared" si="3"/>
        <v>0</v>
      </c>
      <c r="J22" s="807"/>
      <c r="K22" s="807">
        <f t="shared" si="4"/>
        <v>0</v>
      </c>
    </row>
    <row r="23" spans="2:11" ht="22.95" customHeight="1">
      <c r="B23"/>
      <c r="C23"/>
      <c r="D23"/>
      <c r="E23" s="805" t="s">
        <v>188</v>
      </c>
      <c r="F23" s="806" t="str">
        <f>Cuentas!B9</f>
        <v>D</v>
      </c>
      <c r="G23" s="807">
        <f t="shared" si="2"/>
        <v>0</v>
      </c>
      <c r="H23" s="807"/>
      <c r="I23" s="807">
        <f t="shared" si="3"/>
        <v>0</v>
      </c>
      <c r="J23" s="807"/>
      <c r="K23" s="807">
        <f t="shared" si="4"/>
        <v>0</v>
      </c>
    </row>
    <row r="24" spans="2:11" ht="22.95" customHeight="1">
      <c r="B24"/>
      <c r="C24"/>
      <c r="D24"/>
      <c r="E24" s="805" t="s">
        <v>188</v>
      </c>
      <c r="F24" s="806" t="str">
        <f>Cuentas!B10</f>
        <v>E</v>
      </c>
      <c r="G24" s="807">
        <f t="shared" si="2"/>
        <v>0</v>
      </c>
      <c r="H24" s="807"/>
      <c r="I24" s="807">
        <f t="shared" si="3"/>
        <v>0</v>
      </c>
      <c r="J24" s="807"/>
      <c r="K24" s="807">
        <f t="shared" si="4"/>
        <v>0</v>
      </c>
    </row>
    <row r="25" spans="2:11" ht="22.95" customHeight="1">
      <c r="B25"/>
      <c r="C25"/>
      <c r="D25"/>
      <c r="E25" s="805" t="s">
        <v>188</v>
      </c>
      <c r="F25" s="806" t="str">
        <f>Cuentas!B11</f>
        <v>F</v>
      </c>
      <c r="G25" s="807">
        <f t="shared" si="2"/>
        <v>0</v>
      </c>
      <c r="H25" s="807"/>
      <c r="I25" s="807">
        <f t="shared" si="3"/>
        <v>0</v>
      </c>
      <c r="J25" s="807"/>
      <c r="K25" s="807">
        <f t="shared" si="4"/>
        <v>0</v>
      </c>
    </row>
    <row r="26" spans="2:11" ht="22.95" customHeight="1">
      <c r="B26"/>
      <c r="C26"/>
      <c r="D26"/>
      <c r="E26" s="805" t="s">
        <v>188</v>
      </c>
      <c r="F26" s="806" t="str">
        <f>Cuentas!B12</f>
        <v>G</v>
      </c>
      <c r="G26" s="807">
        <f t="shared" si="2"/>
        <v>0</v>
      </c>
      <c r="H26" s="807"/>
      <c r="I26" s="807">
        <f t="shared" si="3"/>
        <v>0</v>
      </c>
      <c r="J26" s="807"/>
      <c r="K26" s="807">
        <f t="shared" si="4"/>
        <v>0</v>
      </c>
    </row>
    <row r="27" spans="2:11" ht="22.95" customHeight="1">
      <c r="B27"/>
      <c r="C27"/>
      <c r="D27"/>
      <c r="E27" s="805" t="s">
        <v>188</v>
      </c>
      <c r="F27" s="806" t="str">
        <f>Cuentas!B13</f>
        <v>H</v>
      </c>
      <c r="G27" s="807">
        <f t="shared" si="2"/>
        <v>0</v>
      </c>
      <c r="H27" s="807"/>
      <c r="I27" s="807">
        <f t="shared" si="3"/>
        <v>0</v>
      </c>
      <c r="J27" s="807"/>
      <c r="K27" s="807">
        <f t="shared" si="4"/>
        <v>0</v>
      </c>
    </row>
    <row r="28" spans="2:11" ht="22.95" customHeight="1">
      <c r="B28"/>
      <c r="C28"/>
      <c r="D28"/>
      <c r="E28" s="805" t="s">
        <v>188</v>
      </c>
      <c r="F28" s="806" t="str">
        <f>Cuentas!B14</f>
        <v>I</v>
      </c>
      <c r="G28" s="807">
        <f t="shared" si="2"/>
        <v>0</v>
      </c>
      <c r="H28" s="807"/>
      <c r="I28" s="807">
        <f t="shared" si="3"/>
        <v>0</v>
      </c>
      <c r="J28" s="807"/>
      <c r="K28" s="807">
        <f t="shared" si="4"/>
        <v>0</v>
      </c>
    </row>
    <row r="29" spans="2:11" ht="22.95" customHeight="1">
      <c r="B29"/>
      <c r="C29"/>
      <c r="D29"/>
      <c r="E29" s="805" t="s">
        <v>188</v>
      </c>
      <c r="F29" s="806" t="str">
        <f>Cuentas!B15</f>
        <v>J</v>
      </c>
      <c r="G29" s="807">
        <f t="shared" si="2"/>
        <v>0</v>
      </c>
      <c r="H29" s="807"/>
      <c r="I29" s="807">
        <f t="shared" si="3"/>
        <v>0</v>
      </c>
      <c r="J29" s="807"/>
      <c r="K29" s="807">
        <f t="shared" si="4"/>
        <v>0</v>
      </c>
    </row>
    <row r="30" spans="2:11" ht="22.95" customHeight="1">
      <c r="B30"/>
      <c r="C30"/>
      <c r="D30"/>
      <c r="E30" s="802" t="s">
        <v>188</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wsjhc1SS4SbKS6+AqS1Tq9gaQF6oDILuH/ukjQWAU3yb+Cgj0UTtV0q1WRbNYDs1wEUmbHbJ5pLCJK6lM9HazQ==" saltValue="yik4V+UxDGlkPokNg7JDkg=="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7.6328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91" t="s">
        <v>635</v>
      </c>
      <c r="C2" s="891"/>
      <c r="D2" s="891"/>
      <c r="E2" s="891"/>
      <c r="F2" s="891"/>
      <c r="G2" s="891"/>
      <c r="H2" s="891"/>
      <c r="I2" s="891"/>
      <c r="J2" s="891"/>
      <c r="K2" s="891"/>
      <c r="L2" s="891"/>
      <c r="M2" s="891"/>
      <c r="N2" s="891"/>
      <c r="O2" s="891"/>
      <c r="P2" s="891"/>
      <c r="Q2" s="891"/>
      <c r="R2" s="891"/>
    </row>
    <row r="3" spans="2:18" ht="22.95" customHeight="1">
      <c r="B3" s="892" t="s">
        <v>643</v>
      </c>
      <c r="C3" s="892"/>
      <c r="D3" s="892"/>
      <c r="E3" s="892"/>
      <c r="F3" s="892"/>
      <c r="G3" s="892"/>
      <c r="H3" s="892"/>
      <c r="I3" s="892"/>
      <c r="J3" s="892"/>
      <c r="K3" s="892"/>
      <c r="L3" s="892"/>
      <c r="M3" s="892"/>
      <c r="N3" s="892"/>
      <c r="O3" s="892"/>
      <c r="P3" s="892"/>
      <c r="Q3" s="892"/>
      <c r="R3" s="892"/>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s="813" t="s">
        <v>367</v>
      </c>
      <c r="E35" s="814" t="str">
        <f>Cuentas!B6</f>
        <v>A</v>
      </c>
      <c r="F35" s="815">
        <f t="shared" ref="F35:F45" si="7">SUMIF($B$7:$B$29,E35,$F$7:$F$29)</f>
        <v>0</v>
      </c>
      <c r="G35" s="815"/>
      <c r="H35" s="815">
        <f t="shared" ref="H35:H45" si="8">SUMIF($B$7:$B$29,E35,$H$7:$H$29)</f>
        <v>0</v>
      </c>
      <c r="I35" s="815">
        <f t="shared" ref="I35:I45" si="9">SUMIF($B$7:$B$29,E35,$I$7:$I$29)</f>
        <v>0</v>
      </c>
      <c r="J35" s="815"/>
      <c r="K35" s="815"/>
      <c r="L35" s="815"/>
      <c r="M35" s="815">
        <f t="shared" ref="M35:M45" si="10">SUMIF($B$7:$B$29,E35,$M$7:$M$29)</f>
        <v>0</v>
      </c>
      <c r="N35" s="815"/>
      <c r="O35" s="815">
        <f t="shared" ref="O35:O45" si="11">SUMIF($B$7:$B$29,F35,$N$7:$N$29)</f>
        <v>0</v>
      </c>
      <c r="P35" s="815"/>
      <c r="Q35" s="815">
        <f t="shared" ref="Q35:Q45" si="12">SUMIF($B$7:$B$29,F35,$P$7:$P$29)</f>
        <v>0</v>
      </c>
      <c r="R35" s="816">
        <f t="shared" ref="R35:R45" si="13">SUMIF($B$7:$B$29,F35,$Q$7:$Q$29)</f>
        <v>0</v>
      </c>
    </row>
    <row r="36" spans="2:18" ht="22.95" customHeight="1">
      <c r="B36"/>
      <c r="C36"/>
      <c r="D36" s="820" t="s">
        <v>367</v>
      </c>
      <c r="E36" s="821" t="str">
        <f>Cuentas!B7</f>
        <v>B</v>
      </c>
      <c r="F36" s="822">
        <f t="shared" si="7"/>
        <v>0</v>
      </c>
      <c r="G36" s="822"/>
      <c r="H36" s="822">
        <f t="shared" si="8"/>
        <v>0</v>
      </c>
      <c r="I36" s="822">
        <f t="shared" si="9"/>
        <v>0</v>
      </c>
      <c r="J36" s="822"/>
      <c r="K36" s="822"/>
      <c r="L36" s="822"/>
      <c r="M36" s="822">
        <f t="shared" si="10"/>
        <v>0</v>
      </c>
      <c r="N36" s="822"/>
      <c r="O36" s="822">
        <f t="shared" si="11"/>
        <v>0</v>
      </c>
      <c r="P36" s="822"/>
      <c r="Q36" s="822">
        <f t="shared" si="12"/>
        <v>0</v>
      </c>
      <c r="R36" s="823">
        <f t="shared" si="13"/>
        <v>0</v>
      </c>
    </row>
    <row r="37" spans="2:18" ht="22.95" customHeight="1">
      <c r="B37"/>
      <c r="C37"/>
      <c r="D37" s="820" t="s">
        <v>367</v>
      </c>
      <c r="E37" s="821" t="str">
        <f>Cuentas!B8</f>
        <v>C</v>
      </c>
      <c r="F37" s="822">
        <f t="shared" si="7"/>
        <v>0</v>
      </c>
      <c r="G37" s="822"/>
      <c r="H37" s="822">
        <f t="shared" si="8"/>
        <v>0</v>
      </c>
      <c r="I37" s="822">
        <f t="shared" si="9"/>
        <v>0</v>
      </c>
      <c r="J37" s="822"/>
      <c r="K37" s="822"/>
      <c r="L37" s="822"/>
      <c r="M37" s="822">
        <f t="shared" si="10"/>
        <v>0</v>
      </c>
      <c r="N37" s="822"/>
      <c r="O37" s="822">
        <f t="shared" si="11"/>
        <v>0</v>
      </c>
      <c r="P37" s="822"/>
      <c r="Q37" s="822">
        <f t="shared" si="12"/>
        <v>0</v>
      </c>
      <c r="R37" s="823">
        <f t="shared" si="13"/>
        <v>0</v>
      </c>
    </row>
    <row r="38" spans="2:18" ht="22.95" customHeight="1">
      <c r="B38"/>
      <c r="C38"/>
      <c r="D38" s="820" t="s">
        <v>367</v>
      </c>
      <c r="E38" s="821" t="str">
        <f>Cuentas!B9</f>
        <v>D</v>
      </c>
      <c r="F38" s="822">
        <f t="shared" si="7"/>
        <v>0</v>
      </c>
      <c r="G38" s="822"/>
      <c r="H38" s="822">
        <f t="shared" si="8"/>
        <v>0</v>
      </c>
      <c r="I38" s="822">
        <f t="shared" si="9"/>
        <v>0</v>
      </c>
      <c r="J38" s="822"/>
      <c r="K38" s="822"/>
      <c r="L38" s="822"/>
      <c r="M38" s="822">
        <f t="shared" si="10"/>
        <v>0</v>
      </c>
      <c r="N38" s="822"/>
      <c r="O38" s="822">
        <f t="shared" si="11"/>
        <v>0</v>
      </c>
      <c r="P38" s="822"/>
      <c r="Q38" s="822">
        <f t="shared" si="12"/>
        <v>0</v>
      </c>
      <c r="R38" s="823">
        <f t="shared" si="13"/>
        <v>0</v>
      </c>
    </row>
    <row r="39" spans="2:18" ht="22.95" customHeight="1">
      <c r="B39"/>
      <c r="C39"/>
      <c r="D39" s="820" t="s">
        <v>367</v>
      </c>
      <c r="E39" s="821" t="str">
        <f>Cuentas!B10</f>
        <v>E</v>
      </c>
      <c r="F39" s="822">
        <f t="shared" si="7"/>
        <v>0</v>
      </c>
      <c r="G39" s="822"/>
      <c r="H39" s="822">
        <f t="shared" si="8"/>
        <v>0</v>
      </c>
      <c r="I39" s="822">
        <f t="shared" si="9"/>
        <v>0</v>
      </c>
      <c r="J39" s="822"/>
      <c r="K39" s="822"/>
      <c r="L39" s="822"/>
      <c r="M39" s="822">
        <f t="shared" si="10"/>
        <v>0</v>
      </c>
      <c r="N39" s="822"/>
      <c r="O39" s="822">
        <f t="shared" si="11"/>
        <v>0</v>
      </c>
      <c r="P39" s="822"/>
      <c r="Q39" s="822">
        <f t="shared" si="12"/>
        <v>0</v>
      </c>
      <c r="R39" s="823">
        <f t="shared" si="13"/>
        <v>0</v>
      </c>
    </row>
    <row r="40" spans="2:18" ht="22.95" customHeight="1">
      <c r="B40"/>
      <c r="C40"/>
      <c r="D40" s="820" t="s">
        <v>367</v>
      </c>
      <c r="E40" s="821" t="str">
        <f>Cuentas!B11</f>
        <v>F</v>
      </c>
      <c r="F40" s="822">
        <f t="shared" si="7"/>
        <v>0</v>
      </c>
      <c r="G40" s="822"/>
      <c r="H40" s="822">
        <f t="shared" si="8"/>
        <v>0</v>
      </c>
      <c r="I40" s="822">
        <f t="shared" si="9"/>
        <v>0</v>
      </c>
      <c r="J40" s="822"/>
      <c r="K40" s="822"/>
      <c r="L40" s="822"/>
      <c r="M40" s="822">
        <f t="shared" si="10"/>
        <v>0</v>
      </c>
      <c r="N40" s="822"/>
      <c r="O40" s="822">
        <f t="shared" si="11"/>
        <v>0</v>
      </c>
      <c r="P40" s="822"/>
      <c r="Q40" s="822">
        <f t="shared" si="12"/>
        <v>0</v>
      </c>
      <c r="R40" s="823">
        <f t="shared" si="13"/>
        <v>0</v>
      </c>
    </row>
    <row r="41" spans="2:18" ht="22.95" customHeight="1">
      <c r="B41"/>
      <c r="C41"/>
      <c r="D41" s="820" t="s">
        <v>367</v>
      </c>
      <c r="E41" s="821" t="str">
        <f>Cuentas!B12</f>
        <v>G</v>
      </c>
      <c r="F41" s="822">
        <f t="shared" si="7"/>
        <v>0</v>
      </c>
      <c r="G41" s="822"/>
      <c r="H41" s="822">
        <f t="shared" si="8"/>
        <v>0</v>
      </c>
      <c r="I41" s="822">
        <f t="shared" si="9"/>
        <v>0</v>
      </c>
      <c r="J41" s="822"/>
      <c r="K41" s="822"/>
      <c r="L41" s="822"/>
      <c r="M41" s="822">
        <f t="shared" si="10"/>
        <v>0</v>
      </c>
      <c r="N41" s="822"/>
      <c r="O41" s="822">
        <f t="shared" si="11"/>
        <v>0</v>
      </c>
      <c r="P41" s="822"/>
      <c r="Q41" s="822">
        <f t="shared" si="12"/>
        <v>0</v>
      </c>
      <c r="R41" s="823">
        <f t="shared" si="13"/>
        <v>0</v>
      </c>
    </row>
    <row r="42" spans="2:18" ht="22.95" customHeight="1">
      <c r="B42"/>
      <c r="C42"/>
      <c r="D42" s="820" t="s">
        <v>367</v>
      </c>
      <c r="E42" s="821" t="str">
        <f>Cuentas!B13</f>
        <v>H</v>
      </c>
      <c r="F42" s="822">
        <f t="shared" si="7"/>
        <v>0</v>
      </c>
      <c r="G42" s="822"/>
      <c r="H42" s="822">
        <f t="shared" si="8"/>
        <v>0</v>
      </c>
      <c r="I42" s="822">
        <f t="shared" si="9"/>
        <v>0</v>
      </c>
      <c r="J42" s="822"/>
      <c r="K42" s="822"/>
      <c r="L42" s="822"/>
      <c r="M42" s="822">
        <f t="shared" si="10"/>
        <v>0</v>
      </c>
      <c r="N42" s="822"/>
      <c r="O42" s="822">
        <f t="shared" si="11"/>
        <v>0</v>
      </c>
      <c r="P42" s="822"/>
      <c r="Q42" s="822">
        <f t="shared" si="12"/>
        <v>0</v>
      </c>
      <c r="R42" s="845">
        <f t="shared" si="13"/>
        <v>0</v>
      </c>
    </row>
    <row r="43" spans="2:18" ht="22.95" customHeight="1">
      <c r="B43"/>
      <c r="C43"/>
      <c r="D43" s="820" t="s">
        <v>367</v>
      </c>
      <c r="E43" s="821" t="str">
        <f>Cuentas!B14</f>
        <v>I</v>
      </c>
      <c r="F43" s="822">
        <f t="shared" si="7"/>
        <v>0</v>
      </c>
      <c r="G43" s="822"/>
      <c r="H43" s="822">
        <f t="shared" si="8"/>
        <v>0</v>
      </c>
      <c r="I43" s="822">
        <f t="shared" si="9"/>
        <v>0</v>
      </c>
      <c r="J43" s="822"/>
      <c r="K43" s="822"/>
      <c r="L43" s="822"/>
      <c r="M43" s="822">
        <f t="shared" si="10"/>
        <v>0</v>
      </c>
      <c r="N43" s="822"/>
      <c r="O43" s="822">
        <f t="shared" si="11"/>
        <v>0</v>
      </c>
      <c r="P43" s="822"/>
      <c r="Q43" s="822">
        <f t="shared" si="12"/>
        <v>0</v>
      </c>
      <c r="R43" s="823">
        <f t="shared" si="13"/>
        <v>0</v>
      </c>
    </row>
    <row r="44" spans="2:18" ht="22.95" customHeight="1">
      <c r="B44"/>
      <c r="C44"/>
      <c r="D44" s="820" t="s">
        <v>367</v>
      </c>
      <c r="E44" s="821" t="str">
        <f>Cuentas!B15</f>
        <v>J</v>
      </c>
      <c r="F44" s="822">
        <f t="shared" si="7"/>
        <v>0</v>
      </c>
      <c r="G44" s="822"/>
      <c r="H44" s="822">
        <f t="shared" si="8"/>
        <v>0</v>
      </c>
      <c r="I44" s="822">
        <f t="shared" si="9"/>
        <v>0</v>
      </c>
      <c r="J44" s="822"/>
      <c r="K44" s="822"/>
      <c r="L44" s="822"/>
      <c r="M44" s="822">
        <f t="shared" si="10"/>
        <v>0</v>
      </c>
      <c r="N44" s="822"/>
      <c r="O44" s="822">
        <f t="shared" si="11"/>
        <v>0</v>
      </c>
      <c r="P44" s="822"/>
      <c r="Q44" s="822">
        <f t="shared" si="12"/>
        <v>0</v>
      </c>
      <c r="R44" s="823">
        <f t="shared" si="13"/>
        <v>0</v>
      </c>
    </row>
    <row r="45" spans="2:18" ht="22.95" customHeight="1">
      <c r="B45"/>
      <c r="C45"/>
      <c r="D45" s="817" t="s">
        <v>367</v>
      </c>
      <c r="E45" s="818" t="str">
        <f>Cuentas!B16</f>
        <v>K</v>
      </c>
      <c r="F45" s="819">
        <f t="shared" si="7"/>
        <v>0</v>
      </c>
      <c r="G45" s="819"/>
      <c r="H45" s="819">
        <f t="shared" si="8"/>
        <v>0</v>
      </c>
      <c r="I45" s="819">
        <f t="shared" si="9"/>
        <v>0</v>
      </c>
      <c r="J45" s="819"/>
      <c r="K45" s="819"/>
      <c r="L45" s="819"/>
      <c r="M45" s="819">
        <f t="shared" si="10"/>
        <v>0</v>
      </c>
      <c r="N45" s="819"/>
      <c r="O45" s="819">
        <f t="shared" si="11"/>
        <v>0</v>
      </c>
      <c r="P45" s="819"/>
      <c r="Q45" s="819">
        <f t="shared" si="12"/>
        <v>0</v>
      </c>
      <c r="R45" s="846">
        <f t="shared" si="13"/>
        <v>0</v>
      </c>
    </row>
    <row r="46" spans="2:18" ht="22.95" customHeight="1">
      <c r="B46"/>
      <c r="C46"/>
      <c r="D46" s="811"/>
      <c r="E46" s="811"/>
      <c r="F46" s="810"/>
      <c r="G46" s="810"/>
      <c r="H46" s="810"/>
      <c r="I46" s="810"/>
      <c r="J46" s="810"/>
      <c r="K46" s="810"/>
      <c r="L46" s="810"/>
      <c r="M46" s="810"/>
      <c r="N46" s="810"/>
      <c r="O46" s="810"/>
      <c r="P46" s="810"/>
      <c r="Q46" s="810"/>
      <c r="R46" s="812">
        <f t="shared" ref="R46" si="14">SUMIF($B$7:$B$29,F46,$Q$7:$Q$29)</f>
        <v>0</v>
      </c>
    </row>
    <row r="47" spans="2:18" ht="22.95" customHeight="1">
      <c r="B47"/>
      <c r="C47"/>
      <c r="D47" s="824" t="s">
        <v>368</v>
      </c>
      <c r="E47" s="824"/>
      <c r="F47" s="825">
        <f>SUM($F$35:$F$46)</f>
        <v>0</v>
      </c>
      <c r="G47" s="825"/>
      <c r="H47" s="825">
        <f>SUM($H$35:$H$46)</f>
        <v>0</v>
      </c>
      <c r="I47" s="825">
        <f>SUM($I$35:$I$46)</f>
        <v>0</v>
      </c>
      <c r="J47" s="825"/>
      <c r="K47" s="825"/>
      <c r="L47" s="825"/>
      <c r="M47" s="825">
        <f>SUM($M$35:$M$46)</f>
        <v>0</v>
      </c>
      <c r="N47" s="825"/>
      <c r="O47" s="825">
        <f>SUM($N$35:$N$46)</f>
        <v>0</v>
      </c>
      <c r="P47" s="825"/>
      <c r="Q47" s="825">
        <f>SUM($P$35:$P$46)</f>
        <v>0</v>
      </c>
      <c r="R47" s="826">
        <f>SUM($Q$35:$Q$46)</f>
        <v>0</v>
      </c>
    </row>
    <row r="48" spans="2:18" ht="22.95" customHeight="1">
      <c r="B48"/>
      <c r="C48"/>
      <c r="D48"/>
      <c r="E48"/>
      <c r="F48"/>
      <c r="G48"/>
      <c r="H48"/>
      <c r="I48"/>
      <c r="J48"/>
      <c r="K48"/>
      <c r="L48"/>
      <c r="M48"/>
      <c r="N48"/>
      <c r="O48"/>
      <c r="P48"/>
      <c r="Q48"/>
      <c r="R48" s="826">
        <f>SUM($Q$35:$Q$47)</f>
        <v>0</v>
      </c>
    </row>
    <row r="49" spans="2:17" ht="22.95" customHeight="1">
      <c r="B49"/>
      <c r="C49"/>
      <c r="D49"/>
      <c r="E49"/>
      <c r="F49"/>
      <c r="G49"/>
      <c r="H49"/>
      <c r="I49"/>
      <c r="J49"/>
      <c r="K49"/>
      <c r="L49"/>
      <c r="M49"/>
      <c r="N49"/>
      <c r="O49"/>
      <c r="P49"/>
      <c r="Q49"/>
    </row>
    <row r="50" spans="2:17" ht="22.95" customHeight="1">
      <c r="B50" t="s">
        <v>12</v>
      </c>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sheetProtection algorithmName="SHA-512" hashValue="+i3i83QIVBIpARxGLcOfTqBQKEMza9kBXOxEw2fDc8vpha27T0r4RhOgpE87p7w0+0TA+rFefhRh6gdq4ws+uA==" saltValue="yeDcnmYuEVjgZbqSU9SS5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8.269531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s="799" t="s">
        <v>367</v>
      </c>
      <c r="F35" s="800" t="str">
        <f>Cuentas!B6</f>
        <v>A</v>
      </c>
      <c r="G35" s="801">
        <f t="shared" ref="G35:G45" si="1">SUMIF($B$7:$B$29,F35,$G$7:$G$29)</f>
        <v>0</v>
      </c>
      <c r="H35" s="801"/>
      <c r="I35" s="801"/>
      <c r="J35" s="801">
        <f t="shared" ref="J35:J45" si="2">SUMIF($B$7:$B$29,F35,$J$7:$J$29)</f>
        <v>0</v>
      </c>
    </row>
    <row r="36" spans="2:10" ht="22.95" customHeight="1">
      <c r="B36"/>
      <c r="C36"/>
      <c r="D36"/>
      <c r="E36" s="805" t="s">
        <v>367</v>
      </c>
      <c r="F36" s="806" t="str">
        <f>Cuentas!B7</f>
        <v>B</v>
      </c>
      <c r="G36" s="807">
        <f t="shared" si="1"/>
        <v>0</v>
      </c>
      <c r="H36" s="807"/>
      <c r="I36" s="807"/>
      <c r="J36" s="807">
        <f t="shared" si="2"/>
        <v>0</v>
      </c>
    </row>
    <row r="37" spans="2:10" ht="22.95" customHeight="1">
      <c r="B37"/>
      <c r="C37"/>
      <c r="D37"/>
      <c r="E37" s="805" t="s">
        <v>367</v>
      </c>
      <c r="F37" s="806" t="str">
        <f>Cuentas!B8</f>
        <v>C</v>
      </c>
      <c r="G37" s="807">
        <f t="shared" si="1"/>
        <v>0</v>
      </c>
      <c r="H37" s="807"/>
      <c r="I37" s="807"/>
      <c r="J37" s="807">
        <f t="shared" si="2"/>
        <v>0</v>
      </c>
    </row>
    <row r="38" spans="2:10" ht="22.95" customHeight="1">
      <c r="B38"/>
      <c r="C38"/>
      <c r="D38"/>
      <c r="E38" s="805" t="s">
        <v>367</v>
      </c>
      <c r="F38" s="806" t="str">
        <f>Cuentas!B9</f>
        <v>D</v>
      </c>
      <c r="G38" s="807">
        <f t="shared" si="1"/>
        <v>0</v>
      </c>
      <c r="H38" s="807"/>
      <c r="I38" s="807"/>
      <c r="J38" s="807">
        <f t="shared" si="2"/>
        <v>0</v>
      </c>
    </row>
    <row r="39" spans="2:10" ht="22.95" customHeight="1">
      <c r="B39"/>
      <c r="C39"/>
      <c r="D39"/>
      <c r="E39" s="805" t="s">
        <v>367</v>
      </c>
      <c r="F39" s="806" t="str">
        <f>Cuentas!B10</f>
        <v>E</v>
      </c>
      <c r="G39" s="807">
        <f t="shared" si="1"/>
        <v>0</v>
      </c>
      <c r="H39" s="807"/>
      <c r="I39" s="807"/>
      <c r="J39" s="807">
        <f t="shared" si="2"/>
        <v>0</v>
      </c>
    </row>
    <row r="40" spans="2:10" ht="22.95" customHeight="1">
      <c r="B40"/>
      <c r="C40"/>
      <c r="D40"/>
      <c r="E40" s="805" t="s">
        <v>367</v>
      </c>
      <c r="F40" s="806" t="str">
        <f>Cuentas!B11</f>
        <v>F</v>
      </c>
      <c r="G40" s="807">
        <f t="shared" si="1"/>
        <v>0</v>
      </c>
      <c r="H40" s="807"/>
      <c r="I40" s="807"/>
      <c r="J40" s="807">
        <f t="shared" si="2"/>
        <v>0</v>
      </c>
    </row>
    <row r="41" spans="2:10" ht="22.95" customHeight="1">
      <c r="B41"/>
      <c r="C41"/>
      <c r="D41"/>
      <c r="E41" s="805" t="s">
        <v>367</v>
      </c>
      <c r="F41" s="806" t="str">
        <f>Cuentas!B12</f>
        <v>G</v>
      </c>
      <c r="G41" s="807">
        <f t="shared" si="1"/>
        <v>0</v>
      </c>
      <c r="H41" s="807"/>
      <c r="I41" s="807"/>
      <c r="J41" s="807">
        <f t="shared" si="2"/>
        <v>0</v>
      </c>
    </row>
    <row r="42" spans="2:10" ht="22.95" customHeight="1">
      <c r="B42"/>
      <c r="C42"/>
      <c r="D42"/>
      <c r="E42" s="805" t="s">
        <v>367</v>
      </c>
      <c r="F42" s="806" t="str">
        <f>Cuentas!B13</f>
        <v>H</v>
      </c>
      <c r="G42" s="807">
        <f t="shared" si="1"/>
        <v>0</v>
      </c>
      <c r="H42" s="807"/>
      <c r="I42" s="807"/>
      <c r="J42" s="807">
        <f t="shared" si="2"/>
        <v>0</v>
      </c>
    </row>
    <row r="43" spans="2:10" ht="22.95" customHeight="1">
      <c r="B43"/>
      <c r="C43"/>
      <c r="D43"/>
      <c r="E43" s="805" t="s">
        <v>367</v>
      </c>
      <c r="F43" s="806" t="str">
        <f>Cuentas!B14</f>
        <v>I</v>
      </c>
      <c r="G43" s="807">
        <f t="shared" si="1"/>
        <v>0</v>
      </c>
      <c r="H43" s="807"/>
      <c r="I43" s="807"/>
      <c r="J43" s="807">
        <f t="shared" si="2"/>
        <v>0</v>
      </c>
    </row>
    <row r="44" spans="2:10" ht="22.95" customHeight="1">
      <c r="B44"/>
      <c r="C44"/>
      <c r="D44"/>
      <c r="E44" s="805" t="s">
        <v>367</v>
      </c>
      <c r="F44" s="806" t="str">
        <f>Cuentas!B15</f>
        <v>J</v>
      </c>
      <c r="G44" s="807">
        <f t="shared" si="1"/>
        <v>0</v>
      </c>
      <c r="H44" s="807"/>
      <c r="I44" s="807"/>
      <c r="J44" s="807">
        <f t="shared" si="2"/>
        <v>0</v>
      </c>
    </row>
    <row r="45" spans="2:10" ht="22.95" customHeight="1">
      <c r="B45"/>
      <c r="C45"/>
      <c r="D45"/>
      <c r="E45" s="802" t="s">
        <v>367</v>
      </c>
      <c r="F45" s="803" t="str">
        <f>Cuentas!B16</f>
        <v>K</v>
      </c>
      <c r="G45" s="804">
        <f t="shared" si="1"/>
        <v>0</v>
      </c>
      <c r="H45" s="804"/>
      <c r="I45" s="804"/>
      <c r="J45" s="804">
        <f t="shared" si="2"/>
        <v>0</v>
      </c>
    </row>
    <row r="46" spans="2:10" ht="22.95" customHeight="1">
      <c r="B46"/>
      <c r="C46"/>
      <c r="D46"/>
      <c r="E46" s="798"/>
      <c r="F46" s="798"/>
      <c r="G46" s="797"/>
      <c r="H46" s="797"/>
      <c r="I46" s="797"/>
      <c r="J46" s="797"/>
    </row>
    <row r="47" spans="2:10" ht="22.95" customHeight="1">
      <c r="B47"/>
      <c r="C47"/>
      <c r="D47"/>
      <c r="E47" s="808"/>
      <c r="F47" s="808" t="s">
        <v>709</v>
      </c>
      <c r="G47" s="809">
        <f>SUM($G$35:$G$46)</f>
        <v>0</v>
      </c>
      <c r="H47" s="809"/>
      <c r="I47" s="809"/>
      <c r="J47" s="809">
        <f>SUM($J$35:$J$46)</f>
        <v>0</v>
      </c>
    </row>
    <row r="48" spans="2:10" ht="22.95" customHeight="1">
      <c r="B48"/>
      <c r="C48"/>
      <c r="D48"/>
      <c r="E48"/>
      <c r="F48"/>
      <c r="G48"/>
      <c r="H48"/>
      <c r="I48"/>
      <c r="J48"/>
    </row>
    <row r="49" spans="2:10" ht="22.95" customHeight="1">
      <c r="B49"/>
      <c r="C49"/>
      <c r="D49"/>
      <c r="E49"/>
      <c r="F49"/>
      <c r="G49"/>
      <c r="H49"/>
      <c r="I49"/>
      <c r="J49"/>
    </row>
    <row r="50" spans="2:10" ht="22.95" customHeight="1">
      <c r="B50" t="s">
        <v>12</v>
      </c>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sheetProtection algorithmName="SHA-512" hashValue="Pcje/JBI0PCriCvUCJjZYvAuGhgjeaiyYTAaRJkNMUbWsKHgG8DiuItIaRpeQ7OGsAW/1Nz9DmRLc/QRfRNoMg==" saltValue="FhvwxUzX0+jckQL/nKvcZg=="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6"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8.1796875"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93" t="s">
        <v>646</v>
      </c>
      <c r="C2" s="893"/>
      <c r="D2" s="893"/>
      <c r="E2" s="893"/>
      <c r="F2" s="893"/>
      <c r="G2" s="893"/>
      <c r="H2" s="893"/>
      <c r="I2" s="893"/>
      <c r="J2" s="893"/>
      <c r="K2" s="893"/>
    </row>
    <row r="3" spans="2:14" ht="22.95" customHeight="1">
      <c r="B3" s="892" t="s">
        <v>647</v>
      </c>
      <c r="C3" s="892"/>
      <c r="D3" s="892"/>
      <c r="E3" s="892"/>
      <c r="F3" s="892"/>
      <c r="G3" s="892"/>
      <c r="H3" s="892"/>
      <c r="I3" s="892"/>
      <c r="J3" s="892"/>
      <c r="K3" s="892"/>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s="799" t="s">
        <v>374</v>
      </c>
      <c r="F35" s="800" t="str">
        <f>Cuentas!B6</f>
        <v>A</v>
      </c>
      <c r="G35" s="801">
        <f t="shared" ref="G35:G45" si="14">SUMIF($B$7:$B$29,F35,$G$7:$G$29)</f>
        <v>0</v>
      </c>
      <c r="H35" s="801"/>
      <c r="I35" s="801">
        <f t="shared" ref="I35:I45" si="15">SUMIF($B$7:$B$29,F35,$I$7:$I$29)</f>
        <v>0</v>
      </c>
      <c r="J35" s="801"/>
      <c r="K35" s="801">
        <f t="shared" ref="K35:K45" si="16">SUMIF($B$7:$B$29,F35,$K$7:$K$29)</f>
        <v>0</v>
      </c>
    </row>
    <row r="36" spans="2:11" ht="22.95" customHeight="1">
      <c r="B36"/>
      <c r="C36"/>
      <c r="D36"/>
      <c r="E36" s="805" t="s">
        <v>374</v>
      </c>
      <c r="F36" s="806" t="str">
        <f>Cuentas!B7</f>
        <v>B</v>
      </c>
      <c r="G36" s="807">
        <f t="shared" si="14"/>
        <v>0</v>
      </c>
      <c r="H36" s="807"/>
      <c r="I36" s="807">
        <f t="shared" si="15"/>
        <v>0</v>
      </c>
      <c r="J36" s="807"/>
      <c r="K36" s="807">
        <f t="shared" si="16"/>
        <v>0</v>
      </c>
    </row>
    <row r="37" spans="2:11" ht="22.95" customHeight="1">
      <c r="B37"/>
      <c r="C37"/>
      <c r="D37"/>
      <c r="E37" s="805" t="s">
        <v>374</v>
      </c>
      <c r="F37" s="806" t="str">
        <f>Cuentas!B8</f>
        <v>C</v>
      </c>
      <c r="G37" s="807">
        <f t="shared" si="14"/>
        <v>0</v>
      </c>
      <c r="H37" s="807"/>
      <c r="I37" s="807">
        <f t="shared" si="15"/>
        <v>0</v>
      </c>
      <c r="J37" s="807"/>
      <c r="K37" s="807">
        <f t="shared" si="16"/>
        <v>0</v>
      </c>
    </row>
    <row r="38" spans="2:11" ht="22.95" customHeight="1">
      <c r="B38"/>
      <c r="C38"/>
      <c r="D38"/>
      <c r="E38" s="805" t="s">
        <v>374</v>
      </c>
      <c r="F38" s="806" t="str">
        <f>Cuentas!B9</f>
        <v>D</v>
      </c>
      <c r="G38" s="807">
        <f t="shared" si="14"/>
        <v>0</v>
      </c>
      <c r="H38" s="807"/>
      <c r="I38" s="807">
        <f t="shared" si="15"/>
        <v>0</v>
      </c>
      <c r="J38" s="807"/>
      <c r="K38" s="807">
        <f t="shared" si="16"/>
        <v>0</v>
      </c>
    </row>
    <row r="39" spans="2:11" ht="22.95" customHeight="1">
      <c r="B39"/>
      <c r="C39"/>
      <c r="D39"/>
      <c r="E39" s="805" t="s">
        <v>374</v>
      </c>
      <c r="F39" s="806" t="str">
        <f>Cuentas!B10</f>
        <v>E</v>
      </c>
      <c r="G39" s="807">
        <f t="shared" si="14"/>
        <v>0</v>
      </c>
      <c r="H39" s="807"/>
      <c r="I39" s="807">
        <f t="shared" si="15"/>
        <v>0</v>
      </c>
      <c r="J39" s="807"/>
      <c r="K39" s="807">
        <f t="shared" si="16"/>
        <v>0</v>
      </c>
    </row>
    <row r="40" spans="2:11" ht="22.95" customHeight="1">
      <c r="B40"/>
      <c r="C40"/>
      <c r="D40"/>
      <c r="E40" s="805" t="s">
        <v>374</v>
      </c>
      <c r="F40" s="806" t="str">
        <f>Cuentas!B11</f>
        <v>F</v>
      </c>
      <c r="G40" s="807">
        <f t="shared" si="14"/>
        <v>0</v>
      </c>
      <c r="H40" s="807"/>
      <c r="I40" s="807">
        <f t="shared" si="15"/>
        <v>0</v>
      </c>
      <c r="J40" s="807"/>
      <c r="K40" s="807">
        <f t="shared" si="16"/>
        <v>0</v>
      </c>
    </row>
    <row r="41" spans="2:11" ht="22.95" customHeight="1">
      <c r="B41"/>
      <c r="C41"/>
      <c r="D41"/>
      <c r="E41" s="805" t="s">
        <v>374</v>
      </c>
      <c r="F41" s="806" t="str">
        <f>Cuentas!B12</f>
        <v>G</v>
      </c>
      <c r="G41" s="807">
        <f t="shared" si="14"/>
        <v>0</v>
      </c>
      <c r="H41" s="807"/>
      <c r="I41" s="807">
        <f t="shared" si="15"/>
        <v>0</v>
      </c>
      <c r="J41" s="807"/>
      <c r="K41" s="807">
        <f t="shared" si="16"/>
        <v>0</v>
      </c>
    </row>
    <row r="42" spans="2:11" ht="22.95" customHeight="1">
      <c r="B42"/>
      <c r="C42"/>
      <c r="D42"/>
      <c r="E42" s="805" t="s">
        <v>374</v>
      </c>
      <c r="F42" s="806" t="str">
        <f>Cuentas!B13</f>
        <v>H</v>
      </c>
      <c r="G42" s="807">
        <f t="shared" si="14"/>
        <v>0</v>
      </c>
      <c r="H42" s="807"/>
      <c r="I42" s="807">
        <f t="shared" si="15"/>
        <v>0</v>
      </c>
      <c r="J42" s="807"/>
      <c r="K42" s="807">
        <f t="shared" si="16"/>
        <v>0</v>
      </c>
    </row>
    <row r="43" spans="2:11" ht="22.95" customHeight="1">
      <c r="B43"/>
      <c r="C43"/>
      <c r="D43"/>
      <c r="E43" s="805" t="s">
        <v>374</v>
      </c>
      <c r="F43" s="806" t="str">
        <f>Cuentas!B14</f>
        <v>I</v>
      </c>
      <c r="G43" s="807">
        <f t="shared" si="14"/>
        <v>0</v>
      </c>
      <c r="H43" s="807"/>
      <c r="I43" s="807">
        <f t="shared" si="15"/>
        <v>0</v>
      </c>
      <c r="J43" s="807"/>
      <c r="K43" s="807">
        <f t="shared" si="16"/>
        <v>0</v>
      </c>
    </row>
    <row r="44" spans="2:11" ht="22.95" customHeight="1">
      <c r="B44"/>
      <c r="C44"/>
      <c r="D44"/>
      <c r="E44" s="805" t="s">
        <v>374</v>
      </c>
      <c r="F44" s="806" t="str">
        <f>Cuentas!B15</f>
        <v>J</v>
      </c>
      <c r="G44" s="807">
        <f t="shared" si="14"/>
        <v>0</v>
      </c>
      <c r="H44" s="807"/>
      <c r="I44" s="807">
        <f t="shared" si="15"/>
        <v>0</v>
      </c>
      <c r="J44" s="807"/>
      <c r="K44" s="807">
        <f t="shared" si="16"/>
        <v>0</v>
      </c>
    </row>
    <row r="45" spans="2:11" ht="22.95" customHeight="1">
      <c r="B45"/>
      <c r="C45"/>
      <c r="D45"/>
      <c r="E45" s="802" t="s">
        <v>374</v>
      </c>
      <c r="F45" s="803" t="str">
        <f>Cuentas!B16</f>
        <v>K</v>
      </c>
      <c r="G45" s="804">
        <f t="shared" si="14"/>
        <v>0</v>
      </c>
      <c r="H45" s="804"/>
      <c r="I45" s="804">
        <f t="shared" si="15"/>
        <v>0</v>
      </c>
      <c r="J45" s="804"/>
      <c r="K45" s="804">
        <f t="shared" si="16"/>
        <v>0</v>
      </c>
    </row>
    <row r="46" spans="2:11" ht="22.95" customHeight="1">
      <c r="B46"/>
      <c r="C46"/>
      <c r="D46"/>
      <c r="E46" s="798"/>
      <c r="F46" s="798"/>
      <c r="G46" s="797"/>
      <c r="H46" s="797"/>
      <c r="I46" s="797"/>
      <c r="J46" s="797"/>
      <c r="K46" s="797"/>
    </row>
    <row r="47" spans="2:11" ht="22.95" customHeight="1">
      <c r="B47"/>
      <c r="C47"/>
      <c r="D47"/>
      <c r="E47" s="808" t="s">
        <v>364</v>
      </c>
      <c r="F47" s="808"/>
      <c r="G47" s="809">
        <f>SUM($G$35:$G$46)</f>
        <v>0</v>
      </c>
      <c r="H47" s="809"/>
      <c r="I47" s="809">
        <f>SUM($I$35:$I$46)</f>
        <v>0</v>
      </c>
      <c r="J47" s="809"/>
      <c r="K47" s="809">
        <f>SUM($K$35:$K$46)</f>
        <v>0</v>
      </c>
    </row>
    <row r="48" spans="2:11" ht="22.95" customHeight="1">
      <c r="B48"/>
      <c r="C48"/>
      <c r="D48"/>
      <c r="E48"/>
      <c r="F48"/>
      <c r="G48"/>
      <c r="H48"/>
      <c r="I48"/>
      <c r="J48"/>
      <c r="K48"/>
    </row>
    <row r="49" spans="2:11" ht="22.95" customHeight="1">
      <c r="B49"/>
      <c r="C49"/>
      <c r="D49"/>
      <c r="E49"/>
      <c r="F49"/>
      <c r="G49"/>
      <c r="H49"/>
      <c r="I49"/>
      <c r="J49"/>
      <c r="K49"/>
    </row>
    <row r="50" spans="2:11" ht="22.95" customHeight="1">
      <c r="B50" t="s">
        <v>12</v>
      </c>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sheetProtection algorithmName="SHA-512" hashValue="a+AyGdp9GpNGZQMr7BWSnj0uNuGWJ1oDMNcOowkzRHpsAW8f2Yzo4YTh5amgc6GzLcaEjKVt5EtCqOW2FwqLWA==" saltValue="I8YFb+uEeYDT2Pryjdtd6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5.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93" t="s">
        <v>648</v>
      </c>
      <c r="C2" s="893"/>
      <c r="D2" s="893"/>
      <c r="E2" s="893"/>
      <c r="F2" s="893"/>
      <c r="G2" s="893"/>
      <c r="H2" s="893"/>
      <c r="I2" s="893"/>
      <c r="J2" s="893"/>
      <c r="K2" s="893"/>
    </row>
    <row r="3" spans="2:11" ht="22.95" customHeight="1">
      <c r="B3" s="892" t="s">
        <v>649</v>
      </c>
      <c r="C3" s="892"/>
      <c r="D3" s="892"/>
      <c r="E3" s="892"/>
      <c r="F3" s="892"/>
      <c r="G3" s="892"/>
      <c r="H3" s="892"/>
      <c r="I3" s="892"/>
      <c r="J3" s="892"/>
      <c r="K3" s="892"/>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s="799" t="s">
        <v>377</v>
      </c>
      <c r="F24" s="800" t="str">
        <f>Cuentas!B6</f>
        <v>A</v>
      </c>
      <c r="G24" s="801">
        <f t="shared" ref="G24:G34" si="4">SUMIF($B$7:$B$18,F24,$G$7:$G$18)</f>
        <v>0</v>
      </c>
      <c r="H24" s="801"/>
      <c r="I24" s="801">
        <f t="shared" ref="I24:I34" si="5">SUMIF($B$7:$B$18,F24,$I$7:$I$18)</f>
        <v>0</v>
      </c>
      <c r="J24" s="801"/>
      <c r="K24" s="801">
        <f t="shared" ref="K24:K34" si="6">SUMIF($B$7:$B$18,F24,$K$7:$K$18)</f>
        <v>0</v>
      </c>
    </row>
    <row r="25" spans="2:11" ht="22.95" customHeight="1">
      <c r="B25"/>
      <c r="C25"/>
      <c r="D25"/>
      <c r="E25" s="805" t="s">
        <v>377</v>
      </c>
      <c r="F25" s="806" t="str">
        <f>Cuentas!B7</f>
        <v>B</v>
      </c>
      <c r="G25" s="807">
        <f t="shared" si="4"/>
        <v>0</v>
      </c>
      <c r="H25" s="807"/>
      <c r="I25" s="807">
        <f t="shared" si="5"/>
        <v>0</v>
      </c>
      <c r="J25" s="807"/>
      <c r="K25" s="807">
        <f t="shared" si="6"/>
        <v>0</v>
      </c>
    </row>
    <row r="26" spans="2:11" ht="22.95" customHeight="1">
      <c r="B26"/>
      <c r="C26"/>
      <c r="D26"/>
      <c r="E26" s="805" t="s">
        <v>377</v>
      </c>
      <c r="F26" s="806" t="str">
        <f>Cuentas!B8</f>
        <v>C</v>
      </c>
      <c r="G26" s="807">
        <f t="shared" si="4"/>
        <v>0</v>
      </c>
      <c r="H26" s="807"/>
      <c r="I26" s="807">
        <f t="shared" si="5"/>
        <v>0</v>
      </c>
      <c r="J26" s="807"/>
      <c r="K26" s="807">
        <f t="shared" si="6"/>
        <v>0</v>
      </c>
    </row>
    <row r="27" spans="2:11" ht="22.95" customHeight="1">
      <c r="B27"/>
      <c r="C27"/>
      <c r="D27"/>
      <c r="E27" s="805" t="s">
        <v>377</v>
      </c>
      <c r="F27" s="806" t="str">
        <f>Cuentas!B9</f>
        <v>D</v>
      </c>
      <c r="G27" s="807">
        <f t="shared" si="4"/>
        <v>0</v>
      </c>
      <c r="H27" s="807"/>
      <c r="I27" s="807">
        <f t="shared" si="5"/>
        <v>0</v>
      </c>
      <c r="J27" s="807"/>
      <c r="K27" s="807">
        <f t="shared" si="6"/>
        <v>0</v>
      </c>
    </row>
    <row r="28" spans="2:11" ht="22.95" customHeight="1">
      <c r="B28"/>
      <c r="C28"/>
      <c r="D28"/>
      <c r="E28" s="805" t="s">
        <v>377</v>
      </c>
      <c r="F28" s="806" t="str">
        <f>Cuentas!B10</f>
        <v>E</v>
      </c>
      <c r="G28" s="807">
        <f t="shared" si="4"/>
        <v>0</v>
      </c>
      <c r="H28" s="807"/>
      <c r="I28" s="807">
        <f t="shared" si="5"/>
        <v>0</v>
      </c>
      <c r="J28" s="807"/>
      <c r="K28" s="807">
        <f t="shared" si="6"/>
        <v>0</v>
      </c>
    </row>
    <row r="29" spans="2:11" ht="22.95" customHeight="1">
      <c r="B29"/>
      <c r="C29"/>
      <c r="D29"/>
      <c r="E29" s="805" t="s">
        <v>377</v>
      </c>
      <c r="F29" s="806" t="str">
        <f>Cuentas!B11</f>
        <v>F</v>
      </c>
      <c r="G29" s="807">
        <f t="shared" si="4"/>
        <v>0</v>
      </c>
      <c r="H29" s="807"/>
      <c r="I29" s="807">
        <f t="shared" si="5"/>
        <v>0</v>
      </c>
      <c r="J29" s="807"/>
      <c r="K29" s="807">
        <f t="shared" si="6"/>
        <v>0</v>
      </c>
    </row>
    <row r="30" spans="2:11" ht="22.95" customHeight="1">
      <c r="B30"/>
      <c r="C30"/>
      <c r="D30"/>
      <c r="E30" s="805" t="s">
        <v>377</v>
      </c>
      <c r="F30" s="806" t="str">
        <f>Cuentas!B12</f>
        <v>G</v>
      </c>
      <c r="G30" s="807">
        <f t="shared" si="4"/>
        <v>0</v>
      </c>
      <c r="H30" s="807"/>
      <c r="I30" s="807">
        <f t="shared" si="5"/>
        <v>0</v>
      </c>
      <c r="J30" s="807"/>
      <c r="K30" s="807">
        <f t="shared" si="6"/>
        <v>0</v>
      </c>
    </row>
    <row r="31" spans="2:11" ht="22.95" customHeight="1">
      <c r="B31"/>
      <c r="C31"/>
      <c r="D31"/>
      <c r="E31" s="805" t="s">
        <v>377</v>
      </c>
      <c r="F31" s="806" t="str">
        <f>Cuentas!B13</f>
        <v>H</v>
      </c>
      <c r="G31" s="807">
        <f t="shared" si="4"/>
        <v>0</v>
      </c>
      <c r="H31" s="807"/>
      <c r="I31" s="807">
        <f t="shared" si="5"/>
        <v>0</v>
      </c>
      <c r="J31" s="807"/>
      <c r="K31" s="807">
        <f t="shared" si="6"/>
        <v>0</v>
      </c>
    </row>
    <row r="32" spans="2:11" ht="22.95" customHeight="1">
      <c r="B32"/>
      <c r="C32"/>
      <c r="D32"/>
      <c r="E32" s="805" t="s">
        <v>377</v>
      </c>
      <c r="F32" s="806" t="str">
        <f>Cuentas!B14</f>
        <v>I</v>
      </c>
      <c r="G32" s="807">
        <f t="shared" si="4"/>
        <v>0</v>
      </c>
      <c r="H32" s="807"/>
      <c r="I32" s="807">
        <f t="shared" si="5"/>
        <v>0</v>
      </c>
      <c r="J32" s="807"/>
      <c r="K32" s="807">
        <f t="shared" si="6"/>
        <v>0</v>
      </c>
    </row>
    <row r="33" spans="2:11" ht="22.95" customHeight="1">
      <c r="B33"/>
      <c r="C33"/>
      <c r="D33"/>
      <c r="E33" s="805" t="s">
        <v>377</v>
      </c>
      <c r="F33" s="806" t="str">
        <f>Cuentas!B15</f>
        <v>J</v>
      </c>
      <c r="G33" s="807">
        <f t="shared" si="4"/>
        <v>0</v>
      </c>
      <c r="H33" s="807"/>
      <c r="I33" s="807">
        <f t="shared" si="5"/>
        <v>0</v>
      </c>
      <c r="J33" s="807"/>
      <c r="K33" s="807">
        <f t="shared" si="6"/>
        <v>0</v>
      </c>
    </row>
    <row r="34" spans="2:11" ht="22.95" customHeight="1">
      <c r="B34"/>
      <c r="C34"/>
      <c r="D34"/>
      <c r="E34" s="802" t="s">
        <v>377</v>
      </c>
      <c r="F34" s="803" t="str">
        <f>Cuentas!B16</f>
        <v>K</v>
      </c>
      <c r="G34" s="804">
        <f t="shared" si="4"/>
        <v>0</v>
      </c>
      <c r="H34" s="804"/>
      <c r="I34" s="804">
        <f t="shared" si="5"/>
        <v>0</v>
      </c>
      <c r="J34" s="804"/>
      <c r="K34" s="804">
        <f t="shared" si="6"/>
        <v>0</v>
      </c>
    </row>
    <row r="35" spans="2:11" ht="22.95" customHeight="1">
      <c r="B35"/>
      <c r="C35"/>
      <c r="D35"/>
      <c r="E35" s="798"/>
      <c r="F35" s="798"/>
      <c r="G35" s="797"/>
      <c r="H35" s="797"/>
      <c r="I35" s="797"/>
      <c r="J35" s="797"/>
      <c r="K35" s="797"/>
    </row>
    <row r="36" spans="2:11" ht="22.95" customHeight="1">
      <c r="B36"/>
      <c r="C36"/>
      <c r="D36"/>
      <c r="E36" s="808" t="s">
        <v>364</v>
      </c>
      <c r="F36" s="808"/>
      <c r="G36" s="809">
        <f>SUM($G$24:$G$35)</f>
        <v>0</v>
      </c>
      <c r="H36" s="809"/>
      <c r="I36" s="809">
        <f>SUM($I$24:$I$35)</f>
        <v>0</v>
      </c>
      <c r="J36" s="809"/>
      <c r="K36" s="809">
        <f>SUM($K$24:$K$35)</f>
        <v>0</v>
      </c>
    </row>
    <row r="37" spans="2:11" ht="22.95" customHeight="1">
      <c r="B37"/>
      <c r="C37"/>
      <c r="D37"/>
      <c r="E37"/>
      <c r="F37"/>
      <c r="G37"/>
      <c r="H37"/>
      <c r="I37"/>
      <c r="J37"/>
      <c r="K37"/>
    </row>
    <row r="38" spans="2:11" ht="22.95" customHeight="1">
      <c r="B38"/>
      <c r="C38"/>
      <c r="D38"/>
      <c r="E38"/>
      <c r="F38"/>
      <c r="G38"/>
      <c r="H38"/>
      <c r="I38"/>
      <c r="J38"/>
      <c r="K38"/>
    </row>
    <row r="39" spans="2:11" ht="22.95" customHeight="1">
      <c r="B39" t="s">
        <v>12</v>
      </c>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sheetProtection algorithmName="SHA-512" hashValue="xsavi0DW9ejxXI6/eERR0Dm4qsPKdMAnpJp02gv6FcX9fa9tTN1KsSdYiI8qWLRryOvQAOSB3+VwSxp28dwKeA==" saltValue="Zp0ChAoFirMKOeeKmx5ilw==" spinCount="100000" sheet="1" objects="1" scenarios="1"/>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53.906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94" t="s">
        <v>650</v>
      </c>
      <c r="C2" s="894"/>
      <c r="D2" s="894"/>
      <c r="E2" s="894"/>
      <c r="F2" s="894"/>
      <c r="G2" s="894"/>
      <c r="H2" s="894"/>
      <c r="I2" s="894"/>
      <c r="J2" s="894"/>
      <c r="K2" s="894"/>
      <c r="O2" s="295" t="s">
        <v>64</v>
      </c>
    </row>
    <row r="3" spans="2:15" ht="22.95" customHeight="1">
      <c r="B3" s="895" t="s">
        <v>647</v>
      </c>
      <c r="C3" s="895"/>
      <c r="D3" s="895"/>
      <c r="E3" s="895"/>
      <c r="F3" s="895"/>
      <c r="G3" s="895"/>
      <c r="H3" s="895"/>
      <c r="I3" s="895"/>
      <c r="J3" s="895"/>
      <c r="K3" s="895"/>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s="799" t="s">
        <v>187</v>
      </c>
      <c r="F20" s="800" t="str">
        <f>Cuentas!B6</f>
        <v>A</v>
      </c>
      <c r="G20" s="801">
        <f t="shared" ref="G20:G30" si="2">SUMIF($B$7:$B$14,F20,$G$7:$G$14)</f>
        <v>0</v>
      </c>
      <c r="H20" s="801"/>
      <c r="I20" s="801">
        <f t="shared" ref="I20:I30" si="3">SUMIF($B$7:$B$14,F20,$I$7:$I$14)</f>
        <v>0</v>
      </c>
      <c r="J20" s="801"/>
      <c r="K20" s="801">
        <f t="shared" ref="K20:K30" si="4">SUMIF($B$7:$B$14,F20,$K$7:$K$14)</f>
        <v>0</v>
      </c>
    </row>
    <row r="21" spans="2:11" ht="22.95" customHeight="1">
      <c r="B21"/>
      <c r="C21"/>
      <c r="D21"/>
      <c r="E21" s="805" t="s">
        <v>187</v>
      </c>
      <c r="F21" s="806" t="str">
        <f>Cuentas!B7</f>
        <v>B</v>
      </c>
      <c r="G21" s="807">
        <f t="shared" si="2"/>
        <v>0</v>
      </c>
      <c r="H21" s="807"/>
      <c r="I21" s="807">
        <f t="shared" si="3"/>
        <v>0</v>
      </c>
      <c r="J21" s="807"/>
      <c r="K21" s="807">
        <f t="shared" si="4"/>
        <v>0</v>
      </c>
    </row>
    <row r="22" spans="2:11" ht="22.95" customHeight="1">
      <c r="B22"/>
      <c r="C22"/>
      <c r="D22"/>
      <c r="E22" s="805" t="s">
        <v>187</v>
      </c>
      <c r="F22" s="806" t="str">
        <f>Cuentas!B8</f>
        <v>C</v>
      </c>
      <c r="G22" s="807">
        <f t="shared" si="2"/>
        <v>0</v>
      </c>
      <c r="H22" s="807"/>
      <c r="I22" s="807">
        <f t="shared" si="3"/>
        <v>0</v>
      </c>
      <c r="J22" s="807"/>
      <c r="K22" s="807">
        <f t="shared" si="4"/>
        <v>0</v>
      </c>
    </row>
    <row r="23" spans="2:11" ht="22.95" customHeight="1">
      <c r="B23"/>
      <c r="C23"/>
      <c r="D23"/>
      <c r="E23" s="805" t="s">
        <v>187</v>
      </c>
      <c r="F23" s="806" t="str">
        <f>Cuentas!B9</f>
        <v>D</v>
      </c>
      <c r="G23" s="807">
        <f t="shared" si="2"/>
        <v>0</v>
      </c>
      <c r="H23" s="807"/>
      <c r="I23" s="807">
        <f t="shared" si="3"/>
        <v>0</v>
      </c>
      <c r="J23" s="807"/>
      <c r="K23" s="807">
        <f t="shared" si="4"/>
        <v>0</v>
      </c>
    </row>
    <row r="24" spans="2:11" ht="22.95" customHeight="1">
      <c r="B24"/>
      <c r="C24"/>
      <c r="D24"/>
      <c r="E24" s="805" t="s">
        <v>187</v>
      </c>
      <c r="F24" s="806" t="str">
        <f>Cuentas!B10</f>
        <v>E</v>
      </c>
      <c r="G24" s="807">
        <f t="shared" si="2"/>
        <v>0</v>
      </c>
      <c r="H24" s="807"/>
      <c r="I24" s="807">
        <f t="shared" si="3"/>
        <v>0</v>
      </c>
      <c r="J24" s="807"/>
      <c r="K24" s="807">
        <f t="shared" si="4"/>
        <v>0</v>
      </c>
    </row>
    <row r="25" spans="2:11" ht="22.95" customHeight="1">
      <c r="B25"/>
      <c r="C25"/>
      <c r="D25"/>
      <c r="E25" s="805" t="s">
        <v>187</v>
      </c>
      <c r="F25" s="806" t="str">
        <f>Cuentas!B11</f>
        <v>F</v>
      </c>
      <c r="G25" s="807">
        <f t="shared" si="2"/>
        <v>0</v>
      </c>
      <c r="H25" s="807"/>
      <c r="I25" s="807">
        <f t="shared" si="3"/>
        <v>0</v>
      </c>
      <c r="J25" s="807"/>
      <c r="K25" s="807">
        <f t="shared" si="4"/>
        <v>0</v>
      </c>
    </row>
    <row r="26" spans="2:11" ht="22.95" customHeight="1">
      <c r="B26"/>
      <c r="C26"/>
      <c r="D26"/>
      <c r="E26" s="805" t="s">
        <v>187</v>
      </c>
      <c r="F26" s="806" t="str">
        <f>Cuentas!B12</f>
        <v>G</v>
      </c>
      <c r="G26" s="807">
        <f t="shared" si="2"/>
        <v>0</v>
      </c>
      <c r="H26" s="807"/>
      <c r="I26" s="807">
        <f t="shared" si="3"/>
        <v>0</v>
      </c>
      <c r="J26" s="807"/>
      <c r="K26" s="807">
        <f t="shared" si="4"/>
        <v>0</v>
      </c>
    </row>
    <row r="27" spans="2:11" ht="22.95" customHeight="1">
      <c r="B27"/>
      <c r="C27"/>
      <c r="D27"/>
      <c r="E27" s="805" t="s">
        <v>187</v>
      </c>
      <c r="F27" s="806" t="str">
        <f>Cuentas!B13</f>
        <v>H</v>
      </c>
      <c r="G27" s="807">
        <f t="shared" si="2"/>
        <v>0</v>
      </c>
      <c r="H27" s="807"/>
      <c r="I27" s="807">
        <f t="shared" si="3"/>
        <v>0</v>
      </c>
      <c r="J27" s="807"/>
      <c r="K27" s="807">
        <f t="shared" si="4"/>
        <v>0</v>
      </c>
    </row>
    <row r="28" spans="2:11" ht="22.95" customHeight="1">
      <c r="B28"/>
      <c r="C28"/>
      <c r="D28"/>
      <c r="E28" s="805" t="s">
        <v>187</v>
      </c>
      <c r="F28" s="806" t="str">
        <f>Cuentas!B14</f>
        <v>I</v>
      </c>
      <c r="G28" s="807">
        <f t="shared" si="2"/>
        <v>0</v>
      </c>
      <c r="H28" s="807"/>
      <c r="I28" s="807">
        <f t="shared" si="3"/>
        <v>0</v>
      </c>
      <c r="J28" s="807"/>
      <c r="K28" s="807">
        <f t="shared" si="4"/>
        <v>0</v>
      </c>
    </row>
    <row r="29" spans="2:11" ht="22.95" customHeight="1">
      <c r="B29"/>
      <c r="C29"/>
      <c r="D29"/>
      <c r="E29" s="805" t="s">
        <v>187</v>
      </c>
      <c r="F29" s="806" t="str">
        <f>Cuentas!B15</f>
        <v>J</v>
      </c>
      <c r="G29" s="807">
        <f t="shared" si="2"/>
        <v>0</v>
      </c>
      <c r="H29" s="807"/>
      <c r="I29" s="807">
        <f t="shared" si="3"/>
        <v>0</v>
      </c>
      <c r="J29" s="807"/>
      <c r="K29" s="807">
        <f t="shared" si="4"/>
        <v>0</v>
      </c>
    </row>
    <row r="30" spans="2:11" ht="22.95" customHeight="1">
      <c r="B30"/>
      <c r="C30"/>
      <c r="D30"/>
      <c r="E30" s="802" t="s">
        <v>187</v>
      </c>
      <c r="F30" s="803" t="str">
        <f>Cuentas!B16</f>
        <v>K</v>
      </c>
      <c r="G30" s="804">
        <f t="shared" si="2"/>
        <v>0</v>
      </c>
      <c r="H30" s="804"/>
      <c r="I30" s="804">
        <f t="shared" si="3"/>
        <v>0</v>
      </c>
      <c r="J30" s="804"/>
      <c r="K30" s="804">
        <f t="shared" si="4"/>
        <v>0</v>
      </c>
    </row>
    <row r="31" spans="2:11" ht="22.95" customHeight="1">
      <c r="B31"/>
      <c r="C31"/>
      <c r="D31"/>
      <c r="E31" s="798"/>
      <c r="F31" s="798"/>
      <c r="G31" s="797"/>
      <c r="H31" s="797"/>
      <c r="I31" s="797"/>
      <c r="J31" s="797"/>
      <c r="K31" s="797"/>
    </row>
    <row r="32" spans="2:11" ht="22.95" customHeight="1">
      <c r="B32"/>
      <c r="C32"/>
      <c r="D32"/>
      <c r="E32" s="808" t="s">
        <v>364</v>
      </c>
      <c r="F32" s="808"/>
      <c r="G32" s="809">
        <f>SUM($G$20:$G$31)</f>
        <v>0</v>
      </c>
      <c r="H32" s="809"/>
      <c r="I32" s="809">
        <f>SUM($I$20:$I$31)</f>
        <v>0</v>
      </c>
      <c r="J32" s="809"/>
      <c r="K32" s="809">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Fa0yPhUbnbTJYJL4tRzxrOaEuRGZPRrI+cq8HnEqegAW8CCK3LV8VismAfRoenMolP71W4XTOENnsuA3nnVO2g==" saltValue="DQ55/v7l4zsprxbwVT1OxA=="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96" t="s">
        <v>651</v>
      </c>
      <c r="C2" s="896"/>
      <c r="D2" s="896"/>
      <c r="E2" s="896"/>
      <c r="F2" s="896"/>
      <c r="G2" s="896"/>
      <c r="H2" s="896"/>
      <c r="I2" s="896"/>
      <c r="J2" s="896"/>
      <c r="K2" s="896"/>
      <c r="O2" s="639" t="s">
        <v>657</v>
      </c>
    </row>
    <row r="3" spans="2:15" ht="22.95" customHeight="1">
      <c r="B3" s="895" t="s">
        <v>649</v>
      </c>
      <c r="C3" s="895"/>
      <c r="D3" s="895"/>
      <c r="E3" s="895"/>
      <c r="F3" s="895"/>
      <c r="G3" s="895"/>
      <c r="H3" s="895"/>
      <c r="I3" s="895"/>
      <c r="J3" s="895"/>
      <c r="K3" s="895"/>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5</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t="s">
        <v>397</v>
      </c>
      <c r="F20" s="742" t="str">
        <f>Cuentas!B6</f>
        <v>A</v>
      </c>
      <c r="G20">
        <f t="shared" ref="G20:G30" si="2">SUMIF($B$7:$B$14,F20,$G$7:$G$14)</f>
        <v>0</v>
      </c>
      <c r="H20"/>
      <c r="I20">
        <f t="shared" ref="I20:I30" si="3">SUMIF($B$7:$B$14,F20,$I$7:$I$14)</f>
        <v>0</v>
      </c>
      <c r="J20"/>
      <c r="K20">
        <f t="shared" ref="K20:K30" si="4">SUMIF($B$7:$B$14,F20,$K$7:$K$14)</f>
        <v>0</v>
      </c>
    </row>
    <row r="21" spans="2:11" ht="22.95" customHeight="1">
      <c r="B21"/>
      <c r="C21"/>
      <c r="D21"/>
      <c r="E21" t="s">
        <v>397</v>
      </c>
      <c r="F21" s="742" t="str">
        <f>Cuentas!B7</f>
        <v>B</v>
      </c>
      <c r="G21">
        <f t="shared" si="2"/>
        <v>0</v>
      </c>
      <c r="H21"/>
      <c r="I21">
        <f t="shared" si="3"/>
        <v>0</v>
      </c>
      <c r="J21"/>
      <c r="K21">
        <f t="shared" si="4"/>
        <v>0</v>
      </c>
    </row>
    <row r="22" spans="2:11" ht="22.95" customHeight="1">
      <c r="B22"/>
      <c r="C22"/>
      <c r="D22"/>
      <c r="E22" t="s">
        <v>397</v>
      </c>
      <c r="F22" s="742" t="str">
        <f>Cuentas!B8</f>
        <v>C</v>
      </c>
      <c r="G22">
        <f t="shared" si="2"/>
        <v>0</v>
      </c>
      <c r="H22"/>
      <c r="I22">
        <f t="shared" si="3"/>
        <v>0</v>
      </c>
      <c r="J22"/>
      <c r="K22">
        <f t="shared" si="4"/>
        <v>0</v>
      </c>
    </row>
    <row r="23" spans="2:11" ht="22.95" customHeight="1">
      <c r="B23"/>
      <c r="C23"/>
      <c r="D23"/>
      <c r="E23" t="s">
        <v>397</v>
      </c>
      <c r="F23" s="742" t="str">
        <f>Cuentas!B9</f>
        <v>D</v>
      </c>
      <c r="G23">
        <f t="shared" si="2"/>
        <v>0</v>
      </c>
      <c r="H23"/>
      <c r="I23">
        <f t="shared" si="3"/>
        <v>0</v>
      </c>
      <c r="J23"/>
      <c r="K23">
        <f t="shared" si="4"/>
        <v>0</v>
      </c>
    </row>
    <row r="24" spans="2:11" ht="22.95" customHeight="1">
      <c r="B24"/>
      <c r="C24"/>
      <c r="D24"/>
      <c r="E24" t="s">
        <v>397</v>
      </c>
      <c r="F24" s="742" t="str">
        <f>Cuentas!B10</f>
        <v>E</v>
      </c>
      <c r="G24">
        <f t="shared" si="2"/>
        <v>0</v>
      </c>
      <c r="H24"/>
      <c r="I24">
        <f t="shared" si="3"/>
        <v>0</v>
      </c>
      <c r="J24"/>
      <c r="K24">
        <f t="shared" si="4"/>
        <v>0</v>
      </c>
    </row>
    <row r="25" spans="2:11" ht="22.95" customHeight="1">
      <c r="B25"/>
      <c r="C25"/>
      <c r="D25"/>
      <c r="E25" t="s">
        <v>397</v>
      </c>
      <c r="F25" s="742" t="str">
        <f>Cuentas!B11</f>
        <v>F</v>
      </c>
      <c r="G25">
        <f t="shared" si="2"/>
        <v>0</v>
      </c>
      <c r="H25"/>
      <c r="I25">
        <f t="shared" si="3"/>
        <v>0</v>
      </c>
      <c r="J25"/>
      <c r="K25">
        <f t="shared" si="4"/>
        <v>0</v>
      </c>
    </row>
    <row r="26" spans="2:11" ht="22.95" customHeight="1">
      <c r="B26"/>
      <c r="C26"/>
      <c r="D26"/>
      <c r="E26" t="s">
        <v>397</v>
      </c>
      <c r="F26" s="742" t="str">
        <f>Cuentas!B12</f>
        <v>G</v>
      </c>
      <c r="G26">
        <f t="shared" si="2"/>
        <v>0</v>
      </c>
      <c r="H26"/>
      <c r="I26">
        <f t="shared" si="3"/>
        <v>0</v>
      </c>
      <c r="J26"/>
      <c r="K26">
        <f t="shared" si="4"/>
        <v>0</v>
      </c>
    </row>
    <row r="27" spans="2:11" ht="22.95" customHeight="1">
      <c r="B27"/>
      <c r="C27"/>
      <c r="D27"/>
      <c r="E27" t="s">
        <v>397</v>
      </c>
      <c r="F27" s="742" t="str">
        <f>Cuentas!B13</f>
        <v>H</v>
      </c>
      <c r="G27">
        <f t="shared" si="2"/>
        <v>0</v>
      </c>
      <c r="H27"/>
      <c r="I27">
        <f t="shared" si="3"/>
        <v>0</v>
      </c>
      <c r="J27"/>
      <c r="K27">
        <f t="shared" si="4"/>
        <v>0</v>
      </c>
    </row>
    <row r="28" spans="2:11" ht="22.95" customHeight="1">
      <c r="B28"/>
      <c r="C28"/>
      <c r="D28"/>
      <c r="E28" t="s">
        <v>397</v>
      </c>
      <c r="F28" s="742" t="str">
        <f>Cuentas!B14</f>
        <v>I</v>
      </c>
      <c r="G28">
        <f t="shared" si="2"/>
        <v>0</v>
      </c>
      <c r="H28"/>
      <c r="I28">
        <f t="shared" si="3"/>
        <v>0</v>
      </c>
      <c r="J28"/>
      <c r="K28">
        <f t="shared" si="4"/>
        <v>0</v>
      </c>
    </row>
    <row r="29" spans="2:11" ht="22.95" customHeight="1">
      <c r="B29"/>
      <c r="C29"/>
      <c r="D29"/>
      <c r="E29" t="s">
        <v>397</v>
      </c>
      <c r="F29" s="742" t="str">
        <f>Cuentas!B15</f>
        <v>J</v>
      </c>
      <c r="G29">
        <f t="shared" si="2"/>
        <v>0</v>
      </c>
      <c r="H29"/>
      <c r="I29">
        <f t="shared" si="3"/>
        <v>0</v>
      </c>
      <c r="J29"/>
      <c r="K29">
        <f t="shared" si="4"/>
        <v>0</v>
      </c>
    </row>
    <row r="30" spans="2:11" ht="22.95" customHeight="1">
      <c r="B30"/>
      <c r="C30"/>
      <c r="D30"/>
      <c r="E30" t="s">
        <v>397</v>
      </c>
      <c r="F30" s="742" t="str">
        <f>Cuentas!B16</f>
        <v>K</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SUM($G$20:$G$31)</f>
        <v>0</v>
      </c>
      <c r="H32"/>
      <c r="I32">
        <f>SUM($I$20:$I$31)</f>
        <v>0</v>
      </c>
      <c r="J32"/>
      <c r="K32">
        <f>SUM($K$20:$K$31)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zpoFok73C1wtz5YTWCqaaFGtUPJgigtYtcV8GS1tD/Hscw85hjpVXMA4bQwX3if/tO1Mo71k3DaxR3Jo6AwC1w==" saltValue="zsWRnLbQCOpvB7v+hDEsu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71" t="s">
        <v>570</v>
      </c>
      <c r="C2" s="871"/>
      <c r="D2" s="871"/>
      <c r="E2" s="871"/>
      <c r="F2" s="871"/>
      <c r="G2" s="871"/>
      <c r="H2" s="871"/>
      <c r="I2" s="871"/>
      <c r="J2" s="871"/>
      <c r="K2" s="871"/>
      <c r="L2" s="871"/>
      <c r="M2" s="871"/>
      <c r="N2" s="871"/>
      <c r="O2" s="871"/>
      <c r="P2" s="871"/>
      <c r="Q2" s="871"/>
      <c r="R2" s="871"/>
      <c r="S2" s="871"/>
      <c r="T2" s="871"/>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sheetProtection algorithmName="SHA-512" hashValue="IdKDJ4pEB09m3p0OrfQ7zXCmBT+dng3yOP8+wXKZ1EguAMAWmqH2oXUs8ek3xfJTNcKWh9Ahw2Hy+6qhcKn+0g==" saltValue="1vsdhAOa9lTIdozp6usk7g=="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8.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75" t="s">
        <v>652</v>
      </c>
      <c r="C2" s="875"/>
      <c r="D2" s="875"/>
      <c r="E2" s="875"/>
      <c r="F2" s="875"/>
      <c r="G2" s="875"/>
      <c r="H2" s="875"/>
      <c r="I2" s="875"/>
      <c r="J2" s="875"/>
      <c r="K2" s="875"/>
    </row>
    <row r="3" spans="2:16" ht="22.95" customHeight="1">
      <c r="B3" s="876" t="s">
        <v>653</v>
      </c>
      <c r="C3" s="876"/>
      <c r="D3" s="876"/>
      <c r="E3" s="876"/>
      <c r="F3" s="876"/>
      <c r="G3" s="876"/>
      <c r="H3" s="876"/>
      <c r="I3" s="876"/>
      <c r="J3" s="876"/>
      <c r="K3" s="876"/>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s="799" t="s">
        <v>96</v>
      </c>
      <c r="F23" s="800" t="str">
        <f>Cuentas!B6</f>
        <v>A</v>
      </c>
      <c r="G23" s="801">
        <f t="shared" ref="G23:G33" si="2">SUMIF($B$7:$B$17,F23,$G$7:$G$17)</f>
        <v>0</v>
      </c>
      <c r="H23" s="801"/>
      <c r="I23" s="801">
        <f t="shared" ref="I23:I33" si="3">SUMIF($B$7:$B$17,F23,$I$7:$I$17)</f>
        <v>0</v>
      </c>
      <c r="J23" s="801"/>
      <c r="K23" s="801">
        <f t="shared" ref="K23:K33" si="4">SUMIF($B$7:$B$17,F23,$K$7:$K$17)</f>
        <v>0</v>
      </c>
    </row>
    <row r="24" spans="2:11" ht="22.95" customHeight="1">
      <c r="B24"/>
      <c r="C24"/>
      <c r="D24"/>
      <c r="E24" s="805" t="s">
        <v>96</v>
      </c>
      <c r="F24" s="806" t="str">
        <f>Cuentas!B7</f>
        <v>B</v>
      </c>
      <c r="G24" s="807">
        <f t="shared" si="2"/>
        <v>0</v>
      </c>
      <c r="H24" s="807"/>
      <c r="I24" s="807">
        <f t="shared" si="3"/>
        <v>0</v>
      </c>
      <c r="J24" s="807"/>
      <c r="K24" s="807">
        <f t="shared" si="4"/>
        <v>0</v>
      </c>
    </row>
    <row r="25" spans="2:11" ht="22.95" customHeight="1">
      <c r="B25"/>
      <c r="C25"/>
      <c r="D25"/>
      <c r="E25" s="805" t="s">
        <v>96</v>
      </c>
      <c r="F25" s="806" t="str">
        <f>Cuentas!B8</f>
        <v>C</v>
      </c>
      <c r="G25" s="807">
        <f t="shared" si="2"/>
        <v>0</v>
      </c>
      <c r="H25" s="807"/>
      <c r="I25" s="807">
        <f t="shared" si="3"/>
        <v>0</v>
      </c>
      <c r="J25" s="807"/>
      <c r="K25" s="807">
        <f t="shared" si="4"/>
        <v>0</v>
      </c>
    </row>
    <row r="26" spans="2:11" ht="22.95" customHeight="1">
      <c r="B26"/>
      <c r="C26"/>
      <c r="D26"/>
      <c r="E26" s="805" t="s">
        <v>96</v>
      </c>
      <c r="F26" s="806" t="str">
        <f>Cuentas!B9</f>
        <v>D</v>
      </c>
      <c r="G26" s="807">
        <f t="shared" si="2"/>
        <v>0</v>
      </c>
      <c r="H26" s="807"/>
      <c r="I26" s="807">
        <f t="shared" si="3"/>
        <v>0</v>
      </c>
      <c r="J26" s="807"/>
      <c r="K26" s="807">
        <f t="shared" si="4"/>
        <v>0</v>
      </c>
    </row>
    <row r="27" spans="2:11" ht="22.95" customHeight="1">
      <c r="B27"/>
      <c r="C27"/>
      <c r="D27"/>
      <c r="E27" s="805" t="s">
        <v>96</v>
      </c>
      <c r="F27" s="806" t="str">
        <f>Cuentas!B10</f>
        <v>E</v>
      </c>
      <c r="G27" s="807">
        <f t="shared" si="2"/>
        <v>0</v>
      </c>
      <c r="H27" s="807"/>
      <c r="I27" s="807">
        <f t="shared" si="3"/>
        <v>0</v>
      </c>
      <c r="J27" s="807"/>
      <c r="K27" s="807">
        <f t="shared" si="4"/>
        <v>0</v>
      </c>
    </row>
    <row r="28" spans="2:11" ht="22.95" customHeight="1">
      <c r="B28"/>
      <c r="C28"/>
      <c r="D28"/>
      <c r="E28" s="805" t="s">
        <v>96</v>
      </c>
      <c r="F28" s="806" t="str">
        <f>Cuentas!B11</f>
        <v>F</v>
      </c>
      <c r="G28" s="807">
        <f t="shared" si="2"/>
        <v>0</v>
      </c>
      <c r="H28" s="807"/>
      <c r="I28" s="807">
        <f t="shared" si="3"/>
        <v>0</v>
      </c>
      <c r="J28" s="807"/>
      <c r="K28" s="807">
        <f t="shared" si="4"/>
        <v>0</v>
      </c>
    </row>
    <row r="29" spans="2:11" ht="22.95" customHeight="1">
      <c r="B29"/>
      <c r="C29"/>
      <c r="D29"/>
      <c r="E29" s="805" t="s">
        <v>96</v>
      </c>
      <c r="F29" s="806" t="str">
        <f>Cuentas!B12</f>
        <v>G</v>
      </c>
      <c r="G29" s="807">
        <f t="shared" si="2"/>
        <v>0</v>
      </c>
      <c r="H29" s="807"/>
      <c r="I29" s="807">
        <f t="shared" si="3"/>
        <v>0</v>
      </c>
      <c r="J29" s="807"/>
      <c r="K29" s="807">
        <f t="shared" si="4"/>
        <v>0</v>
      </c>
    </row>
    <row r="30" spans="2:11" ht="22.95" customHeight="1">
      <c r="B30"/>
      <c r="C30"/>
      <c r="D30"/>
      <c r="E30" s="805" t="s">
        <v>96</v>
      </c>
      <c r="F30" s="806" t="str">
        <f>Cuentas!B13</f>
        <v>H</v>
      </c>
      <c r="G30" s="807">
        <f t="shared" si="2"/>
        <v>0</v>
      </c>
      <c r="H30" s="807"/>
      <c r="I30" s="807">
        <f t="shared" si="3"/>
        <v>0</v>
      </c>
      <c r="J30" s="807"/>
      <c r="K30" s="807">
        <f t="shared" si="4"/>
        <v>0</v>
      </c>
    </row>
    <row r="31" spans="2:11" ht="22.95" customHeight="1">
      <c r="B31"/>
      <c r="C31"/>
      <c r="D31"/>
      <c r="E31" s="805" t="s">
        <v>96</v>
      </c>
      <c r="F31" s="806" t="str">
        <f>Cuentas!B14</f>
        <v>I</v>
      </c>
      <c r="G31" s="807">
        <f t="shared" si="2"/>
        <v>0</v>
      </c>
      <c r="H31" s="807"/>
      <c r="I31" s="807">
        <f t="shared" si="3"/>
        <v>0</v>
      </c>
      <c r="J31" s="807"/>
      <c r="K31" s="807">
        <f t="shared" si="4"/>
        <v>0</v>
      </c>
    </row>
    <row r="32" spans="2:11" ht="22.95" customHeight="1">
      <c r="B32"/>
      <c r="C32"/>
      <c r="D32"/>
      <c r="E32" s="805" t="s">
        <v>96</v>
      </c>
      <c r="F32" s="806" t="str">
        <f>Cuentas!B15</f>
        <v>J</v>
      </c>
      <c r="G32" s="807">
        <f t="shared" si="2"/>
        <v>0</v>
      </c>
      <c r="H32" s="807"/>
      <c r="I32" s="807">
        <f t="shared" si="3"/>
        <v>0</v>
      </c>
      <c r="J32" s="807"/>
      <c r="K32" s="807">
        <f t="shared" si="4"/>
        <v>0</v>
      </c>
    </row>
    <row r="33" spans="2:11" ht="22.95" customHeight="1">
      <c r="B33"/>
      <c r="C33"/>
      <c r="D33"/>
      <c r="E33" s="802" t="s">
        <v>96</v>
      </c>
      <c r="F33" s="803" t="str">
        <f>Cuentas!B16</f>
        <v>K</v>
      </c>
      <c r="G33" s="804">
        <f t="shared" si="2"/>
        <v>0</v>
      </c>
      <c r="H33" s="804"/>
      <c r="I33" s="804">
        <f t="shared" si="3"/>
        <v>0</v>
      </c>
      <c r="J33" s="804"/>
      <c r="K33" s="804">
        <f t="shared" si="4"/>
        <v>0</v>
      </c>
    </row>
    <row r="34" spans="2:11" ht="22.95" customHeight="1">
      <c r="B34"/>
      <c r="C34"/>
      <c r="D34"/>
      <c r="E34" s="798"/>
      <c r="F34" s="798"/>
      <c r="G34" s="797"/>
      <c r="H34" s="797"/>
      <c r="I34" s="797"/>
      <c r="J34" s="797"/>
      <c r="K34" s="797"/>
    </row>
    <row r="35" spans="2:11" ht="22.95" customHeight="1">
      <c r="B35"/>
      <c r="C35"/>
      <c r="D35"/>
      <c r="E35" s="808" t="s">
        <v>364</v>
      </c>
      <c r="F35" s="808"/>
      <c r="G35" s="809">
        <f>SUM($G$23:$G$34)</f>
        <v>0</v>
      </c>
      <c r="H35" s="809"/>
      <c r="I35" s="809">
        <f>SUM($I$23:$I$34)</f>
        <v>0</v>
      </c>
      <c r="J35" s="809"/>
      <c r="K35" s="809">
        <f>SUM($K$23:$K$34)</f>
        <v>0</v>
      </c>
    </row>
    <row r="36" spans="2:11" ht="22.95" customHeight="1">
      <c r="B36"/>
      <c r="C36"/>
      <c r="D36"/>
      <c r="E36"/>
      <c r="F36"/>
      <c r="G36"/>
      <c r="H36"/>
      <c r="I36"/>
      <c r="J36"/>
      <c r="K36"/>
    </row>
    <row r="37" spans="2:11" ht="22.95" customHeight="1">
      <c r="B37"/>
      <c r="C37"/>
      <c r="D37"/>
      <c r="E37"/>
      <c r="F37"/>
      <c r="G37"/>
      <c r="H37"/>
      <c r="I37"/>
      <c r="J37"/>
      <c r="K37"/>
    </row>
    <row r="38" spans="2:11" ht="22.95" customHeight="1">
      <c r="B38" t="s">
        <v>12</v>
      </c>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sheetProtection algorithmName="SHA-512" hashValue="bJKMhGTDLzioL8n43lGcAGTZUp12wa3UAof1Fzn0ygYqMvzh1FrQQKh4eloIml8pR7Jx6rQOw7XWfe9d4ByOaQ==" saltValue="13yt9ibPki5IK3hF16sYf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3"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40.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530</v>
      </c>
      <c r="C2" s="897"/>
      <c r="D2" s="897"/>
      <c r="E2" s="897"/>
      <c r="F2" s="897"/>
      <c r="G2" s="897"/>
      <c r="H2" s="897"/>
      <c r="I2" s="897"/>
      <c r="J2" s="897"/>
    </row>
    <row r="3" spans="2:10" ht="19.95" customHeight="1">
      <c r="B3" s="898" t="s">
        <v>531</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s="799" t="s">
        <v>529</v>
      </c>
      <c r="F21" s="800" t="str">
        <f>Cuentas!B6</f>
        <v>A</v>
      </c>
      <c r="G21" s="801">
        <f t="shared" ref="G21:G31" si="1">SUMIF($B$7:$B$15,F21,$G$7:$G$15)</f>
        <v>0</v>
      </c>
      <c r="H21" s="801"/>
      <c r="I21" s="801"/>
      <c r="J21" s="801">
        <f t="shared" ref="J21:J31" si="2">SUMIF($B$7:$B$15,F21,$J$7:$J$15)</f>
        <v>0</v>
      </c>
    </row>
    <row r="22" spans="2:10" ht="19.95" customHeight="1">
      <c r="B22"/>
      <c r="C22"/>
      <c r="D22"/>
      <c r="E22" s="805" t="s">
        <v>529</v>
      </c>
      <c r="F22" s="806" t="str">
        <f>Cuentas!B7</f>
        <v>B</v>
      </c>
      <c r="G22" s="807">
        <f t="shared" si="1"/>
        <v>0</v>
      </c>
      <c r="H22" s="807"/>
      <c r="I22" s="807"/>
      <c r="J22" s="807">
        <f t="shared" si="2"/>
        <v>0</v>
      </c>
    </row>
    <row r="23" spans="2:10" ht="19.95" customHeight="1">
      <c r="B23"/>
      <c r="C23"/>
      <c r="D23"/>
      <c r="E23" s="805" t="s">
        <v>529</v>
      </c>
      <c r="F23" s="806" t="str">
        <f>Cuentas!B8</f>
        <v>C</v>
      </c>
      <c r="G23" s="807">
        <f t="shared" si="1"/>
        <v>0</v>
      </c>
      <c r="H23" s="807"/>
      <c r="I23" s="807"/>
      <c r="J23" s="807">
        <f t="shared" si="2"/>
        <v>0</v>
      </c>
    </row>
    <row r="24" spans="2:10" ht="19.95" customHeight="1">
      <c r="B24"/>
      <c r="C24"/>
      <c r="D24"/>
      <c r="E24" s="805" t="s">
        <v>529</v>
      </c>
      <c r="F24" s="806" t="str">
        <f>Cuentas!B9</f>
        <v>D</v>
      </c>
      <c r="G24" s="807">
        <f t="shared" si="1"/>
        <v>0</v>
      </c>
      <c r="H24" s="807"/>
      <c r="I24" s="807"/>
      <c r="J24" s="807">
        <f t="shared" si="2"/>
        <v>0</v>
      </c>
    </row>
    <row r="25" spans="2:10" ht="19.95" customHeight="1">
      <c r="B25"/>
      <c r="C25"/>
      <c r="D25"/>
      <c r="E25" s="805" t="s">
        <v>529</v>
      </c>
      <c r="F25" s="806" t="str">
        <f>Cuentas!B10</f>
        <v>E</v>
      </c>
      <c r="G25" s="807">
        <f t="shared" si="1"/>
        <v>0</v>
      </c>
      <c r="H25" s="807"/>
      <c r="I25" s="807"/>
      <c r="J25" s="807">
        <f t="shared" si="2"/>
        <v>0</v>
      </c>
    </row>
    <row r="26" spans="2:10" ht="19.95" customHeight="1">
      <c r="B26"/>
      <c r="C26"/>
      <c r="D26"/>
      <c r="E26" s="805" t="s">
        <v>529</v>
      </c>
      <c r="F26" s="806" t="str">
        <f>Cuentas!B11</f>
        <v>F</v>
      </c>
      <c r="G26" s="807">
        <f t="shared" si="1"/>
        <v>0</v>
      </c>
      <c r="H26" s="807"/>
      <c r="I26" s="807"/>
      <c r="J26" s="807">
        <f t="shared" si="2"/>
        <v>0</v>
      </c>
    </row>
    <row r="27" spans="2:10" ht="19.95" customHeight="1">
      <c r="B27"/>
      <c r="C27"/>
      <c r="D27"/>
      <c r="E27" s="805" t="s">
        <v>529</v>
      </c>
      <c r="F27" s="806" t="str">
        <f>Cuentas!B12</f>
        <v>G</v>
      </c>
      <c r="G27" s="807">
        <f t="shared" si="1"/>
        <v>0</v>
      </c>
      <c r="H27" s="807"/>
      <c r="I27" s="807"/>
      <c r="J27" s="807">
        <f t="shared" si="2"/>
        <v>0</v>
      </c>
    </row>
    <row r="28" spans="2:10" ht="19.95" customHeight="1">
      <c r="B28"/>
      <c r="C28"/>
      <c r="D28"/>
      <c r="E28" s="805" t="s">
        <v>529</v>
      </c>
      <c r="F28" s="806" t="str">
        <f>Cuentas!B13</f>
        <v>H</v>
      </c>
      <c r="G28" s="807">
        <f t="shared" si="1"/>
        <v>0</v>
      </c>
      <c r="H28" s="807"/>
      <c r="I28" s="807"/>
      <c r="J28" s="807">
        <f t="shared" si="2"/>
        <v>0</v>
      </c>
    </row>
    <row r="29" spans="2:10" ht="19.95" customHeight="1">
      <c r="B29"/>
      <c r="C29"/>
      <c r="D29"/>
      <c r="E29" s="805" t="s">
        <v>529</v>
      </c>
      <c r="F29" s="806" t="str">
        <f>Cuentas!B14</f>
        <v>I</v>
      </c>
      <c r="G29" s="807">
        <f t="shared" si="1"/>
        <v>0</v>
      </c>
      <c r="H29" s="807"/>
      <c r="I29" s="807"/>
      <c r="J29" s="807">
        <f t="shared" si="2"/>
        <v>0</v>
      </c>
    </row>
    <row r="30" spans="2:10" ht="19.95" customHeight="1">
      <c r="B30"/>
      <c r="C30"/>
      <c r="D30"/>
      <c r="E30" s="805" t="s">
        <v>529</v>
      </c>
      <c r="F30" s="806" t="str">
        <f>Cuentas!B15</f>
        <v>J</v>
      </c>
      <c r="G30" s="807">
        <f t="shared" si="1"/>
        <v>0</v>
      </c>
      <c r="H30" s="807"/>
      <c r="I30" s="807"/>
      <c r="J30" s="807">
        <f t="shared" si="2"/>
        <v>0</v>
      </c>
    </row>
    <row r="31" spans="2:10" ht="19.95" customHeight="1">
      <c r="B31"/>
      <c r="C31"/>
      <c r="D31"/>
      <c r="E31" s="802" t="s">
        <v>529</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MVv1mTL/f7alStBltr/soBQ+R/hNXKg65SiQMcuV8IYtKCskQ8wraf1xI8fftAH09UeSenhGZnBVPPpSmNRrHw==" saltValue="jRBIwo4yqxC0iAbRug0kfA==" spinCount="100000" sheet="1" objects="1" scenarios="1"/>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8.179687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97" t="s">
        <v>533</v>
      </c>
      <c r="C2" s="897"/>
      <c r="D2" s="897"/>
      <c r="E2" s="897"/>
      <c r="F2" s="897"/>
      <c r="G2" s="897"/>
      <c r="H2" s="897"/>
      <c r="I2" s="897"/>
      <c r="J2" s="897"/>
    </row>
    <row r="3" spans="2:10" ht="19.95" customHeight="1">
      <c r="B3" s="898" t="s">
        <v>534</v>
      </c>
      <c r="C3" s="898"/>
      <c r="D3" s="898"/>
      <c r="E3" s="898"/>
      <c r="F3" s="898"/>
      <c r="G3" s="898"/>
      <c r="H3" s="898"/>
      <c r="I3" s="898"/>
      <c r="J3" s="898"/>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s="799" t="s">
        <v>535</v>
      </c>
      <c r="F21" s="800" t="str">
        <f>Cuentas!B6</f>
        <v>A</v>
      </c>
      <c r="G21" s="801">
        <f t="shared" ref="G21:G31" si="1">SUMIF($B$7:$B$15,F21,$G$7:$G$15)</f>
        <v>0</v>
      </c>
      <c r="H21" s="801"/>
      <c r="I21" s="801"/>
      <c r="J21" s="801">
        <f t="shared" ref="J21:J31" si="2">SUMIF($B$7:$B$15,F21,$J$7:$J$15)</f>
        <v>0</v>
      </c>
    </row>
    <row r="22" spans="2:10" ht="19.95" customHeight="1">
      <c r="B22"/>
      <c r="C22"/>
      <c r="D22"/>
      <c r="E22" s="805" t="s">
        <v>535</v>
      </c>
      <c r="F22" s="806" t="str">
        <f>Cuentas!B7</f>
        <v>B</v>
      </c>
      <c r="G22" s="807">
        <f t="shared" si="1"/>
        <v>0</v>
      </c>
      <c r="H22" s="807"/>
      <c r="I22" s="807"/>
      <c r="J22" s="807">
        <f t="shared" si="2"/>
        <v>0</v>
      </c>
    </row>
    <row r="23" spans="2:10" ht="19.95" customHeight="1">
      <c r="B23"/>
      <c r="C23"/>
      <c r="D23"/>
      <c r="E23" s="805" t="s">
        <v>535</v>
      </c>
      <c r="F23" s="806" t="str">
        <f>Cuentas!B8</f>
        <v>C</v>
      </c>
      <c r="G23" s="807">
        <f t="shared" si="1"/>
        <v>0</v>
      </c>
      <c r="H23" s="807"/>
      <c r="I23" s="807"/>
      <c r="J23" s="807">
        <f t="shared" si="2"/>
        <v>0</v>
      </c>
    </row>
    <row r="24" spans="2:10" ht="19.95" customHeight="1">
      <c r="B24"/>
      <c r="C24"/>
      <c r="D24"/>
      <c r="E24" s="805" t="s">
        <v>535</v>
      </c>
      <c r="F24" s="806" t="str">
        <f>Cuentas!B9</f>
        <v>D</v>
      </c>
      <c r="G24" s="807">
        <f t="shared" si="1"/>
        <v>0</v>
      </c>
      <c r="H24" s="807"/>
      <c r="I24" s="807"/>
      <c r="J24" s="807">
        <f t="shared" si="2"/>
        <v>0</v>
      </c>
    </row>
    <row r="25" spans="2:10" ht="19.95" customHeight="1">
      <c r="B25"/>
      <c r="C25"/>
      <c r="D25"/>
      <c r="E25" s="805" t="s">
        <v>535</v>
      </c>
      <c r="F25" s="806" t="str">
        <f>Cuentas!B10</f>
        <v>E</v>
      </c>
      <c r="G25" s="807">
        <f t="shared" si="1"/>
        <v>0</v>
      </c>
      <c r="H25" s="807"/>
      <c r="I25" s="807"/>
      <c r="J25" s="807">
        <f t="shared" si="2"/>
        <v>0</v>
      </c>
    </row>
    <row r="26" spans="2:10" ht="19.95" customHeight="1">
      <c r="B26"/>
      <c r="C26"/>
      <c r="D26"/>
      <c r="E26" s="805" t="s">
        <v>535</v>
      </c>
      <c r="F26" s="806" t="str">
        <f>Cuentas!B11</f>
        <v>F</v>
      </c>
      <c r="G26" s="807">
        <f t="shared" si="1"/>
        <v>0</v>
      </c>
      <c r="H26" s="807"/>
      <c r="I26" s="807"/>
      <c r="J26" s="807">
        <f t="shared" si="2"/>
        <v>0</v>
      </c>
    </row>
    <row r="27" spans="2:10" ht="19.95" customHeight="1">
      <c r="B27"/>
      <c r="C27"/>
      <c r="D27"/>
      <c r="E27" s="805" t="s">
        <v>535</v>
      </c>
      <c r="F27" s="806" t="str">
        <f>Cuentas!B12</f>
        <v>G</v>
      </c>
      <c r="G27" s="807">
        <f t="shared" si="1"/>
        <v>0</v>
      </c>
      <c r="H27" s="807"/>
      <c r="I27" s="807"/>
      <c r="J27" s="807">
        <f t="shared" si="2"/>
        <v>0</v>
      </c>
    </row>
    <row r="28" spans="2:10" ht="19.95" customHeight="1">
      <c r="B28"/>
      <c r="C28"/>
      <c r="D28"/>
      <c r="E28" s="805" t="s">
        <v>535</v>
      </c>
      <c r="F28" s="806" t="str">
        <f>Cuentas!B13</f>
        <v>H</v>
      </c>
      <c r="G28" s="807">
        <f t="shared" si="1"/>
        <v>0</v>
      </c>
      <c r="H28" s="807"/>
      <c r="I28" s="807"/>
      <c r="J28" s="807">
        <f t="shared" si="2"/>
        <v>0</v>
      </c>
    </row>
    <row r="29" spans="2:10" ht="19.95" customHeight="1">
      <c r="B29"/>
      <c r="C29"/>
      <c r="D29"/>
      <c r="E29" s="805" t="s">
        <v>535</v>
      </c>
      <c r="F29" s="806" t="str">
        <f>Cuentas!B14</f>
        <v>I</v>
      </c>
      <c r="G29" s="807">
        <f t="shared" si="1"/>
        <v>0</v>
      </c>
      <c r="H29" s="807"/>
      <c r="I29" s="807"/>
      <c r="J29" s="807">
        <f t="shared" si="2"/>
        <v>0</v>
      </c>
    </row>
    <row r="30" spans="2:10" ht="19.95" customHeight="1">
      <c r="B30"/>
      <c r="C30"/>
      <c r="D30"/>
      <c r="E30" s="805" t="s">
        <v>535</v>
      </c>
      <c r="F30" s="806" t="str">
        <f>Cuentas!B15</f>
        <v>J</v>
      </c>
      <c r="G30" s="807">
        <f t="shared" si="1"/>
        <v>0</v>
      </c>
      <c r="H30" s="807"/>
      <c r="I30" s="807"/>
      <c r="J30" s="807">
        <f t="shared" si="2"/>
        <v>0</v>
      </c>
    </row>
    <row r="31" spans="2:10" ht="19.95" customHeight="1">
      <c r="B31"/>
      <c r="C31"/>
      <c r="D31"/>
      <c r="E31" s="802" t="s">
        <v>535</v>
      </c>
      <c r="F31" s="803" t="str">
        <f>Cuentas!B16</f>
        <v>K</v>
      </c>
      <c r="G31" s="804">
        <f t="shared" si="1"/>
        <v>0</v>
      </c>
      <c r="H31" s="804"/>
      <c r="I31" s="804"/>
      <c r="J31" s="804">
        <f t="shared" si="2"/>
        <v>0</v>
      </c>
    </row>
    <row r="32" spans="2:10" ht="19.95" customHeight="1">
      <c r="B32"/>
      <c r="C32"/>
      <c r="D32"/>
      <c r="E32" s="798"/>
      <c r="F32" s="798"/>
      <c r="G32" s="797"/>
      <c r="H32" s="797"/>
      <c r="I32" s="797"/>
      <c r="J32" s="797"/>
    </row>
    <row r="33" spans="2:10" ht="19.95" customHeight="1">
      <c r="B33"/>
      <c r="C33"/>
      <c r="D33"/>
      <c r="E33" s="808"/>
      <c r="F33" s="808" t="s">
        <v>709</v>
      </c>
      <c r="G33" s="809">
        <f>SUM($G$21:$G$32)</f>
        <v>0</v>
      </c>
      <c r="H33" s="809"/>
      <c r="I33" s="809"/>
      <c r="J33" s="809">
        <f>SUM($J$21:$J$32)</f>
        <v>0</v>
      </c>
    </row>
    <row r="34" spans="2:10" ht="19.95" customHeight="1">
      <c r="B34"/>
      <c r="C34"/>
      <c r="D34"/>
      <c r="E34"/>
      <c r="F34"/>
      <c r="G34"/>
      <c r="H34"/>
      <c r="I34"/>
      <c r="J34"/>
    </row>
    <row r="35" spans="2:10" ht="19.95" customHeight="1">
      <c r="B35"/>
      <c r="C35"/>
      <c r="D35"/>
      <c r="E35"/>
      <c r="F35"/>
      <c r="G35"/>
      <c r="H35"/>
      <c r="I35"/>
      <c r="J35"/>
    </row>
    <row r="36" spans="2:10" ht="19.95" customHeight="1">
      <c r="B36" t="s">
        <v>12</v>
      </c>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XOjwsuQUBYA+5uOfluZ9R78jnPm16hqA6hqPG4suxxsD5UeXjiiXPyLzaADw0jO3cyHka+vx0owGSYs0WoKVQA==" saltValue="jIvLy4npLHr9TlILHy0U9w==" spinCount="100000" sheet="1" objects="1" scenarios="1"/>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sheetProtection algorithmName="SHA-512" hashValue="gC5WW712rTNENfCwbM3FdVvZcl4wVZYgyk1MWFCCdnt2DcTMlWmMG/f+iIkuJEnDb5Yt9LxTl7JdTQNJNy4HZQ==" saltValue="zT+gDRWvHGtmqXzGMu+pnA==" spinCount="100000" sheet="1" objects="1" scenarios="1"/>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sheetProtection algorithmName="SHA-512" hashValue="FSkqFXNSiNZXaeuahHZG/3yetHMCRP2W3rPS8vwOvQe9mLuDS/0C68a2BGVQGhM+jGrkoOL8p/jVFlzZ7PyxEA==" saltValue="H9WKbp+5HcWTVMtguuJRSg==" spinCount="100000" sheet="1" objects="1" scenarios="1"/>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901" t="s">
        <v>621</v>
      </c>
      <c r="C1" s="901"/>
      <c r="D1" s="901"/>
      <c r="E1" s="901"/>
      <c r="F1" s="901"/>
      <c r="G1" s="901"/>
      <c r="H1" s="901"/>
      <c r="I1" s="901"/>
      <c r="J1" s="901"/>
      <c r="K1" s="901"/>
      <c r="L1" s="901"/>
      <c r="M1" s="901"/>
      <c r="N1" s="901"/>
      <c r="P1" s="901" t="s">
        <v>617</v>
      </c>
      <c r="Q1" s="901"/>
      <c r="R1" s="901"/>
      <c r="S1" s="901"/>
      <c r="T1" s="901"/>
      <c r="U1" s="901"/>
      <c r="V1" s="901"/>
      <c r="W1" s="901"/>
      <c r="X1" s="901"/>
      <c r="Y1" s="901"/>
      <c r="Z1" s="901"/>
      <c r="AA1" s="901"/>
      <c r="AB1" s="901"/>
      <c r="AD1" s="901" t="s">
        <v>581</v>
      </c>
      <c r="AE1" s="901"/>
      <c r="AF1" s="901"/>
      <c r="AG1" s="901"/>
      <c r="AH1" s="901"/>
      <c r="AI1" s="901"/>
      <c r="AJ1" s="901"/>
      <c r="AK1" s="901"/>
      <c r="AL1" s="901"/>
      <c r="AM1" s="901"/>
      <c r="AN1" s="901"/>
      <c r="AO1" s="901"/>
      <c r="AP1" s="901"/>
      <c r="AR1" s="901" t="s">
        <v>521</v>
      </c>
      <c r="AS1" s="901"/>
      <c r="AT1" s="901"/>
      <c r="AU1" s="901"/>
      <c r="AV1" s="901"/>
      <c r="AW1" s="901"/>
      <c r="AX1" s="901"/>
      <c r="AY1" s="901"/>
      <c r="AZ1" s="901"/>
      <c r="BA1" s="901"/>
      <c r="BB1" s="901"/>
      <c r="BC1" s="901"/>
      <c r="BD1" s="901"/>
      <c r="BF1" s="900" t="s">
        <v>459</v>
      </c>
      <c r="BG1" s="900"/>
      <c r="BH1" s="900"/>
      <c r="BI1" s="900"/>
      <c r="BJ1" s="900"/>
      <c r="BK1" s="900"/>
      <c r="BL1" s="900"/>
      <c r="BM1" s="900"/>
      <c r="BN1" s="900"/>
      <c r="BO1" s="900"/>
      <c r="BP1" s="900"/>
      <c r="BQ1" s="900"/>
      <c r="BR1" s="900"/>
      <c r="BS1" s="34"/>
      <c r="BT1" s="900" t="s">
        <v>460</v>
      </c>
      <c r="BU1" s="900"/>
      <c r="BV1" s="900"/>
      <c r="BW1" s="900"/>
      <c r="BX1" s="900"/>
      <c r="BY1" s="900"/>
      <c r="BZ1" s="900"/>
      <c r="CA1" s="900"/>
      <c r="CB1" s="900"/>
      <c r="CC1" s="900"/>
      <c r="CD1" s="900"/>
      <c r="CE1" s="900"/>
      <c r="CF1" s="900"/>
      <c r="CG1" s="34"/>
      <c r="CH1" s="899" t="s">
        <v>461</v>
      </c>
      <c r="CI1" s="899"/>
      <c r="CJ1" s="899"/>
      <c r="CK1" s="899"/>
      <c r="CL1" s="899"/>
      <c r="CM1" s="899"/>
      <c r="CN1" s="899"/>
      <c r="CO1" s="899"/>
      <c r="CP1" s="899"/>
      <c r="CQ1" s="899"/>
      <c r="CR1" s="899"/>
      <c r="CS1" s="899"/>
      <c r="CT1" s="899"/>
      <c r="CU1" s="34"/>
      <c r="CV1" s="900" t="s">
        <v>462</v>
      </c>
      <c r="CW1" s="900"/>
      <c r="CX1" s="900"/>
      <c r="CY1" s="900"/>
      <c r="CZ1" s="900"/>
      <c r="DA1" s="900"/>
      <c r="DB1" s="900"/>
      <c r="DC1" s="900"/>
      <c r="DD1" s="900"/>
      <c r="DE1" s="900"/>
      <c r="DF1" s="900"/>
      <c r="DG1" s="900"/>
      <c r="DH1" s="900"/>
      <c r="DI1" s="34"/>
      <c r="DJ1" s="900" t="s">
        <v>463</v>
      </c>
      <c r="DK1" s="900"/>
      <c r="DL1" s="900"/>
      <c r="DM1" s="900"/>
      <c r="DN1" s="900"/>
      <c r="DO1" s="900"/>
      <c r="DP1" s="900"/>
      <c r="DQ1" s="900"/>
      <c r="DR1" s="900"/>
      <c r="DS1" s="900"/>
      <c r="DT1" s="900"/>
      <c r="DU1" s="900"/>
      <c r="DV1" s="900"/>
      <c r="DW1" s="34"/>
      <c r="DX1" s="900" t="s">
        <v>464</v>
      </c>
      <c r="DY1" s="900"/>
      <c r="DZ1" s="900"/>
      <c r="EA1" s="900"/>
      <c r="EB1" s="900"/>
      <c r="EC1" s="900"/>
      <c r="ED1" s="900"/>
      <c r="EE1" s="900"/>
      <c r="EF1" s="900"/>
      <c r="EG1" s="900"/>
      <c r="EH1" s="900"/>
      <c r="EI1" s="900"/>
      <c r="EJ1" s="900"/>
      <c r="EK1" s="34"/>
      <c r="EL1" s="900" t="s">
        <v>465</v>
      </c>
      <c r="EM1" s="900"/>
      <c r="EN1" s="900"/>
      <c r="EO1" s="900"/>
      <c r="EP1" s="900"/>
      <c r="EQ1" s="900"/>
      <c r="ER1" s="900"/>
      <c r="ES1" s="900"/>
      <c r="ET1" s="900"/>
      <c r="EU1" s="900"/>
      <c r="EV1" s="900"/>
      <c r="EW1" s="900"/>
      <c r="EX1" s="900"/>
      <c r="EY1" s="34"/>
      <c r="EZ1" s="900" t="s">
        <v>466</v>
      </c>
      <c r="FA1" s="900"/>
      <c r="FB1" s="900"/>
      <c r="FC1" s="900"/>
      <c r="FD1" s="900"/>
      <c r="FE1" s="900"/>
      <c r="FF1" s="900"/>
      <c r="FG1" s="900"/>
      <c r="FH1" s="900"/>
      <c r="FI1" s="900"/>
      <c r="FJ1" s="900"/>
      <c r="FK1" s="900"/>
      <c r="FL1" s="900"/>
      <c r="FM1" s="34"/>
      <c r="FN1" s="900" t="s">
        <v>467</v>
      </c>
      <c r="FO1" s="900"/>
      <c r="FP1" s="900"/>
      <c r="FQ1" s="900"/>
      <c r="FR1" s="900"/>
      <c r="FS1" s="900"/>
      <c r="FT1" s="900"/>
      <c r="FU1" s="900"/>
      <c r="FV1" s="900"/>
      <c r="FW1" s="900"/>
      <c r="FX1" s="900"/>
      <c r="FY1" s="900"/>
      <c r="FZ1" s="900"/>
      <c r="GA1" s="34"/>
      <c r="GB1" s="900" t="s">
        <v>468</v>
      </c>
      <c r="GC1" s="900"/>
      <c r="GD1" s="900"/>
      <c r="GE1" s="900"/>
      <c r="GF1" s="900"/>
      <c r="GG1" s="900"/>
      <c r="GH1" s="900"/>
      <c r="GI1" s="900"/>
      <c r="GJ1" s="900"/>
      <c r="GK1" s="900"/>
      <c r="GL1" s="900"/>
      <c r="GM1" s="900"/>
      <c r="GN1" s="900"/>
      <c r="GO1" s="34"/>
      <c r="GP1" s="900" t="s">
        <v>469</v>
      </c>
      <c r="GQ1" s="900"/>
      <c r="GR1" s="900"/>
      <c r="GS1" s="900"/>
      <c r="GT1" s="900"/>
      <c r="GU1" s="900"/>
      <c r="GV1" s="900"/>
      <c r="GW1" s="900"/>
      <c r="GX1" s="900"/>
      <c r="GY1" s="900"/>
      <c r="GZ1" s="900"/>
      <c r="HA1" s="900"/>
      <c r="HB1" s="900"/>
      <c r="HC1" s="34"/>
      <c r="HD1" s="900" t="s">
        <v>470</v>
      </c>
      <c r="HE1" s="900"/>
      <c r="HF1" s="900"/>
      <c r="HG1" s="900"/>
      <c r="HH1" s="900"/>
      <c r="HI1" s="900"/>
      <c r="HJ1" s="900"/>
      <c r="HK1" s="900"/>
      <c r="HL1" s="900"/>
      <c r="HM1" s="900"/>
      <c r="HN1" s="900"/>
      <c r="HO1" s="900"/>
      <c r="HP1" s="900"/>
      <c r="HQ1" s="34"/>
      <c r="HR1" s="900" t="s">
        <v>471</v>
      </c>
      <c r="HS1" s="900"/>
      <c r="HT1" s="900"/>
      <c r="HU1" s="900"/>
      <c r="HV1" s="900"/>
      <c r="HW1" s="900"/>
      <c r="HX1" s="900"/>
      <c r="HY1" s="900"/>
      <c r="HZ1" s="900"/>
      <c r="IA1" s="900"/>
      <c r="IB1" s="900"/>
      <c r="IC1" s="900"/>
      <c r="ID1" s="900"/>
      <c r="IE1" s="34"/>
      <c r="IF1" s="900" t="s">
        <v>472</v>
      </c>
      <c r="IG1" s="900"/>
      <c r="IH1" s="900"/>
      <c r="II1" s="900"/>
      <c r="IJ1" s="900"/>
      <c r="IK1" s="900"/>
      <c r="IL1" s="900"/>
      <c r="IM1" s="900"/>
      <c r="IN1" s="900"/>
      <c r="IO1" s="900"/>
      <c r="IP1" s="900"/>
      <c r="IQ1" s="900"/>
      <c r="IR1" s="900"/>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sheetProtection algorithmName="SHA-512" hashValue="PcmIt13zGd3l1G7kzpudkNeMa6iI1OBMusJxrrO8vhDvYgdWuMOSrSiN1mFEFFoORYv5I4oNIfB8jcQ+KyVmEA==" saltValue="y2y2S+0PM88LkoiMfCPZWg==" spinCount="100000" sheet="1" objects="1" scenarios="1"/>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901" t="s">
        <v>130</v>
      </c>
      <c r="C2" s="901"/>
      <c r="D2" s="901"/>
      <c r="E2" s="901"/>
      <c r="F2" s="901"/>
      <c r="G2" s="901"/>
      <c r="H2" s="901"/>
      <c r="I2" s="901"/>
      <c r="J2" s="901"/>
      <c r="K2" s="901"/>
      <c r="L2" s="901"/>
      <c r="M2" s="901"/>
      <c r="N2" s="901"/>
      <c r="O2" s="901"/>
      <c r="R2" s="901" t="s">
        <v>130</v>
      </c>
      <c r="S2" s="901"/>
      <c r="T2" s="901"/>
      <c r="U2" s="901"/>
      <c r="V2" s="901"/>
      <c r="W2" s="901"/>
      <c r="X2" s="901"/>
      <c r="Y2" s="901"/>
      <c r="Z2" s="901"/>
      <c r="AA2" s="901"/>
      <c r="AB2" s="901"/>
      <c r="AC2" s="901"/>
      <c r="AD2" s="901"/>
      <c r="AE2" s="901"/>
      <c r="AH2" s="901" t="s">
        <v>130</v>
      </c>
      <c r="AI2" s="901"/>
      <c r="AJ2" s="901"/>
      <c r="AK2" s="901"/>
      <c r="AL2" s="901"/>
      <c r="AM2" s="901"/>
      <c r="AN2" s="901"/>
      <c r="AO2" s="901"/>
      <c r="AP2" s="901"/>
      <c r="AQ2" s="901"/>
      <c r="AR2" s="901"/>
      <c r="AS2" s="901"/>
      <c r="AT2" s="901"/>
      <c r="AU2" s="901"/>
      <c r="AX2" s="901" t="s">
        <v>130</v>
      </c>
      <c r="AY2" s="901"/>
      <c r="AZ2" s="901"/>
      <c r="BA2" s="901"/>
      <c r="BB2" s="901"/>
      <c r="BC2" s="901"/>
      <c r="BD2" s="901"/>
      <c r="BE2" s="901"/>
      <c r="BF2" s="901"/>
      <c r="BG2" s="901"/>
      <c r="BH2" s="901"/>
      <c r="BI2" s="901"/>
      <c r="BJ2" s="901"/>
      <c r="BK2" s="901"/>
      <c r="BN2" s="901" t="s">
        <v>130</v>
      </c>
      <c r="BO2" s="901"/>
      <c r="BP2" s="901"/>
      <c r="BQ2" s="901"/>
      <c r="BR2" s="901"/>
      <c r="BS2" s="901"/>
      <c r="BT2" s="901"/>
      <c r="BU2" s="901"/>
      <c r="BV2" s="901"/>
      <c r="BW2" s="901"/>
      <c r="BX2" s="901"/>
      <c r="BY2" s="901"/>
      <c r="BZ2" s="901"/>
      <c r="CA2" s="901"/>
      <c r="CD2" s="901" t="s">
        <v>130</v>
      </c>
      <c r="CE2" s="901"/>
      <c r="CF2" s="901"/>
      <c r="CG2" s="901"/>
      <c r="CH2" s="901"/>
      <c r="CI2" s="901"/>
      <c r="CJ2" s="901"/>
      <c r="CK2" s="901"/>
      <c r="CL2" s="901"/>
      <c r="CM2" s="901"/>
      <c r="CN2" s="901"/>
      <c r="CO2" s="901"/>
      <c r="CP2" s="901"/>
      <c r="CQ2" s="901"/>
      <c r="CT2" s="901" t="s">
        <v>130</v>
      </c>
      <c r="CU2" s="901"/>
      <c r="CV2" s="901"/>
      <c r="CW2" s="901"/>
      <c r="CX2" s="901"/>
      <c r="CY2" s="901"/>
      <c r="CZ2" s="901"/>
      <c r="DA2" s="901"/>
      <c r="DB2" s="901"/>
      <c r="DC2" s="901"/>
      <c r="DD2" s="901"/>
      <c r="DE2" s="901"/>
      <c r="DF2" s="901"/>
      <c r="DG2" s="901"/>
      <c r="DJ2" s="901" t="s">
        <v>130</v>
      </c>
      <c r="DK2" s="901"/>
      <c r="DL2" s="901"/>
      <c r="DM2" s="901"/>
      <c r="DN2" s="901"/>
      <c r="DO2" s="901"/>
      <c r="DP2" s="901"/>
      <c r="DQ2" s="901"/>
      <c r="DR2" s="901"/>
      <c r="DS2" s="901"/>
      <c r="DT2" s="901"/>
      <c r="DU2" s="901"/>
      <c r="DV2" s="901"/>
      <c r="DW2" s="901"/>
      <c r="DZ2" s="901" t="s">
        <v>130</v>
      </c>
      <c r="EA2" s="901"/>
      <c r="EB2" s="901"/>
      <c r="EC2" s="901"/>
      <c r="ED2" s="901"/>
      <c r="EE2" s="901"/>
      <c r="EF2" s="901"/>
      <c r="EG2" s="901"/>
      <c r="EH2" s="901"/>
      <c r="EI2" s="901"/>
      <c r="EJ2" s="901"/>
      <c r="EK2" s="901"/>
      <c r="EL2" s="901"/>
      <c r="EM2" s="901"/>
      <c r="EP2" s="901" t="s">
        <v>130</v>
      </c>
      <c r="EQ2" s="901"/>
      <c r="ER2" s="901"/>
      <c r="ES2" s="901"/>
      <c r="ET2" s="901"/>
      <c r="EU2" s="901"/>
      <c r="EV2" s="901"/>
      <c r="EW2" s="901"/>
      <c r="EX2" s="901"/>
      <c r="EY2" s="901"/>
      <c r="EZ2" s="901"/>
      <c r="FA2" s="901"/>
      <c r="FB2" s="901"/>
      <c r="FC2" s="901"/>
      <c r="FF2" s="901" t="s">
        <v>130</v>
      </c>
      <c r="FG2" s="901"/>
      <c r="FH2" s="901"/>
      <c r="FI2" s="901"/>
      <c r="FJ2" s="901"/>
      <c r="FK2" s="901"/>
      <c r="FL2" s="901"/>
      <c r="FM2" s="901"/>
      <c r="FN2" s="901"/>
      <c r="FO2" s="901"/>
      <c r="FP2" s="901"/>
      <c r="FQ2" s="901"/>
      <c r="FR2" s="901"/>
      <c r="FS2" s="901"/>
      <c r="FV2" s="901" t="s">
        <v>130</v>
      </c>
      <c r="FW2" s="901"/>
      <c r="FX2" s="901"/>
      <c r="FY2" s="901"/>
      <c r="FZ2" s="901"/>
      <c r="GA2" s="901"/>
      <c r="GB2" s="901"/>
      <c r="GC2" s="901"/>
      <c r="GD2" s="901"/>
      <c r="GE2" s="901"/>
      <c r="GF2" s="901"/>
      <c r="GG2" s="901"/>
      <c r="GH2" s="901"/>
      <c r="GI2" s="901"/>
      <c r="GL2" s="901" t="s">
        <v>130</v>
      </c>
      <c r="GM2" s="901"/>
      <c r="GN2" s="901"/>
      <c r="GO2" s="901"/>
      <c r="GP2" s="901"/>
      <c r="GQ2" s="901"/>
      <c r="GR2" s="901"/>
      <c r="GS2" s="901"/>
      <c r="GT2" s="901"/>
      <c r="GU2" s="901"/>
      <c r="GV2" s="901"/>
      <c r="GW2" s="901"/>
      <c r="GX2" s="901"/>
      <c r="GY2" s="901"/>
      <c r="HB2" s="901" t="s">
        <v>130</v>
      </c>
      <c r="HC2" s="901"/>
      <c r="HD2" s="901"/>
      <c r="HE2" s="901"/>
      <c r="HF2" s="901"/>
      <c r="HG2" s="901"/>
      <c r="HH2" s="901"/>
      <c r="HI2" s="901"/>
      <c r="HJ2" s="901"/>
      <c r="HK2" s="901"/>
      <c r="HL2" s="901"/>
      <c r="HM2" s="901"/>
      <c r="HN2" s="901"/>
      <c r="HO2" s="901"/>
      <c r="HP2" s="429"/>
      <c r="HQ2" s="429"/>
      <c r="HR2" s="901" t="s">
        <v>130</v>
      </c>
      <c r="HS2" s="901"/>
      <c r="HT2" s="901"/>
      <c r="HU2" s="901"/>
      <c r="HV2" s="901"/>
      <c r="HW2" s="901"/>
      <c r="HX2" s="901"/>
      <c r="HY2" s="901"/>
      <c r="HZ2" s="901"/>
      <c r="IA2" s="901"/>
      <c r="IB2" s="901"/>
      <c r="IC2" s="901"/>
      <c r="ID2" s="901"/>
      <c r="IE2" s="901"/>
      <c r="IF2" s="429"/>
      <c r="IG2" s="429"/>
      <c r="IH2" s="901" t="s">
        <v>130</v>
      </c>
      <c r="II2" s="901"/>
      <c r="IJ2" s="901"/>
      <c r="IK2" s="901"/>
      <c r="IL2" s="901"/>
      <c r="IM2" s="901"/>
      <c r="IN2" s="901"/>
      <c r="IO2" s="901"/>
      <c r="IP2" s="901"/>
      <c r="IQ2" s="901"/>
      <c r="IR2" s="901"/>
      <c r="IS2" s="901"/>
      <c r="IT2" s="901"/>
      <c r="IU2" s="901"/>
      <c r="IV2" s="429"/>
      <c r="IW2" s="429"/>
      <c r="IX2" s="901" t="s">
        <v>130</v>
      </c>
      <c r="IY2" s="901"/>
      <c r="IZ2" s="901"/>
      <c r="JA2" s="901"/>
      <c r="JB2" s="901"/>
      <c r="JC2" s="901"/>
      <c r="JD2" s="901"/>
      <c r="JE2" s="901"/>
      <c r="JF2" s="901"/>
      <c r="JG2" s="901"/>
      <c r="JH2" s="901"/>
      <c r="JI2" s="901"/>
      <c r="JJ2" s="901"/>
      <c r="JK2" s="901"/>
      <c r="JL2" s="429"/>
      <c r="JM2" s="429"/>
      <c r="JN2" s="901" t="s">
        <v>130</v>
      </c>
      <c r="JO2" s="901"/>
      <c r="JP2" s="901"/>
      <c r="JQ2" s="901"/>
      <c r="JR2" s="901"/>
      <c r="JS2" s="901"/>
      <c r="JT2" s="901"/>
      <c r="JU2" s="901"/>
      <c r="JV2" s="901"/>
      <c r="JW2" s="901"/>
      <c r="JX2" s="901"/>
      <c r="JY2" s="901"/>
      <c r="JZ2" s="901"/>
      <c r="KA2" s="901"/>
      <c r="KB2" s="429"/>
      <c r="KC2" s="429"/>
      <c r="KD2" s="901" t="s">
        <v>130</v>
      </c>
      <c r="KE2" s="901"/>
      <c r="KF2" s="901"/>
      <c r="KG2" s="901"/>
      <c r="KH2" s="901"/>
      <c r="KI2" s="901"/>
      <c r="KJ2" s="901"/>
      <c r="KK2" s="901"/>
      <c r="KL2" s="901"/>
      <c r="KM2" s="901"/>
      <c r="KN2" s="901"/>
      <c r="KO2" s="901"/>
      <c r="KP2" s="901"/>
      <c r="KQ2" s="901"/>
      <c r="KR2" s="429"/>
      <c r="KS2" s="429"/>
      <c r="KT2" s="901" t="s">
        <v>130</v>
      </c>
      <c r="KU2" s="901"/>
      <c r="KV2" s="901"/>
      <c r="KW2" s="901"/>
      <c r="KX2" s="901"/>
      <c r="KY2" s="901"/>
      <c r="KZ2" s="901"/>
      <c r="LA2" s="901"/>
      <c r="LB2" s="901"/>
      <c r="LC2" s="901"/>
      <c r="LD2" s="901"/>
      <c r="LE2" s="901"/>
      <c r="LF2" s="901"/>
      <c r="LG2" s="901"/>
      <c r="LH2" s="429"/>
      <c r="LI2" s="429"/>
      <c r="LJ2" s="901" t="s">
        <v>130</v>
      </c>
      <c r="LK2" s="901"/>
      <c r="LL2" s="901"/>
      <c r="LM2" s="901"/>
      <c r="LN2" s="901"/>
      <c r="LO2" s="901"/>
      <c r="LP2" s="901"/>
      <c r="LQ2" s="901"/>
      <c r="LR2" s="901"/>
      <c r="LS2" s="901"/>
      <c r="LT2" s="901"/>
      <c r="LU2" s="901"/>
      <c r="LV2" s="901"/>
      <c r="LW2" s="901"/>
      <c r="LX2" s="429"/>
      <c r="LY2" s="429"/>
      <c r="LZ2" s="901" t="s">
        <v>130</v>
      </c>
      <c r="MA2" s="901"/>
      <c r="MB2" s="901"/>
      <c r="MC2" s="901"/>
      <c r="MD2" s="901"/>
      <c r="ME2" s="901"/>
      <c r="MF2" s="901"/>
      <c r="MG2" s="901"/>
      <c r="MH2" s="901"/>
      <c r="MI2" s="901"/>
      <c r="MJ2" s="901"/>
      <c r="MK2" s="901"/>
      <c r="ML2" s="901"/>
      <c r="MM2" s="901"/>
      <c r="MN2" s="429"/>
      <c r="MO2" s="429"/>
      <c r="MP2" s="901" t="s">
        <v>130</v>
      </c>
      <c r="MQ2" s="901"/>
      <c r="MR2" s="901"/>
      <c r="MS2" s="901"/>
      <c r="MT2" s="901"/>
      <c r="MU2" s="901"/>
      <c r="MV2" s="901"/>
      <c r="MW2" s="901"/>
      <c r="MX2" s="901"/>
      <c r="MY2" s="901"/>
      <c r="MZ2" s="901"/>
      <c r="NA2" s="901"/>
      <c r="NB2" s="901"/>
      <c r="NC2" s="901"/>
      <c r="ND2" s="429"/>
      <c r="NE2" s="429"/>
      <c r="NF2" s="901" t="s">
        <v>130</v>
      </c>
      <c r="NG2" s="901"/>
      <c r="NH2" s="901"/>
      <c r="NI2" s="901"/>
      <c r="NJ2" s="901"/>
      <c r="NK2" s="901"/>
      <c r="NL2" s="901"/>
      <c r="NM2" s="901"/>
      <c r="NN2" s="901"/>
      <c r="NO2" s="901"/>
      <c r="NP2" s="901"/>
      <c r="NQ2" s="901"/>
      <c r="NR2" s="901"/>
      <c r="NS2" s="901"/>
      <c r="NT2" s="429"/>
      <c r="NU2" s="429"/>
      <c r="NV2" s="901" t="s">
        <v>130</v>
      </c>
      <c r="NW2" s="901"/>
      <c r="NX2" s="901"/>
      <c r="NY2" s="901"/>
      <c r="NZ2" s="901"/>
      <c r="OA2" s="901"/>
      <c r="OB2" s="901"/>
      <c r="OC2" s="901"/>
      <c r="OD2" s="901"/>
      <c r="OE2" s="901"/>
      <c r="OF2" s="901"/>
      <c r="OG2" s="901"/>
      <c r="OH2" s="901"/>
      <c r="OI2" s="901"/>
      <c r="OJ2" s="429"/>
      <c r="OK2" s="429"/>
      <c r="OL2" s="901" t="s">
        <v>130</v>
      </c>
      <c r="OM2" s="901"/>
      <c r="ON2" s="901"/>
      <c r="OO2" s="901"/>
      <c r="OP2" s="901"/>
      <c r="OQ2" s="901"/>
      <c r="OR2" s="901"/>
      <c r="OS2" s="901"/>
      <c r="OT2" s="901"/>
      <c r="OU2" s="901"/>
      <c r="OV2" s="901"/>
      <c r="OW2" s="901"/>
      <c r="OX2" s="901"/>
      <c r="OY2" s="901"/>
      <c r="OZ2" s="429"/>
      <c r="PA2" s="429"/>
      <c r="PB2" s="901" t="s">
        <v>130</v>
      </c>
      <c r="PC2" s="901"/>
      <c r="PD2" s="901"/>
      <c r="PE2" s="901"/>
      <c r="PF2" s="901"/>
      <c r="PG2" s="901"/>
      <c r="PH2" s="901"/>
      <c r="PI2" s="901"/>
      <c r="PJ2" s="901"/>
      <c r="PK2" s="901"/>
      <c r="PL2" s="901"/>
      <c r="PM2" s="901"/>
      <c r="PN2" s="901"/>
      <c r="PO2" s="901"/>
      <c r="PP2" s="429"/>
      <c r="PQ2" s="429"/>
      <c r="PR2" s="901" t="s">
        <v>130</v>
      </c>
      <c r="PS2" s="901"/>
      <c r="PT2" s="901"/>
      <c r="PU2" s="901"/>
      <c r="PV2" s="901"/>
      <c r="PW2" s="901"/>
      <c r="PX2" s="901"/>
      <c r="PY2" s="901"/>
      <c r="PZ2" s="901"/>
      <c r="QA2" s="901"/>
      <c r="QB2" s="901"/>
      <c r="QC2" s="901"/>
      <c r="QD2" s="901"/>
      <c r="QE2" s="901"/>
      <c r="QF2" s="429"/>
      <c r="QG2" s="429"/>
      <c r="QH2" s="901" t="s">
        <v>130</v>
      </c>
      <c r="QI2" s="901"/>
      <c r="QJ2" s="901"/>
      <c r="QK2" s="901"/>
      <c r="QL2" s="901"/>
      <c r="QM2" s="901"/>
      <c r="QN2" s="901"/>
      <c r="QO2" s="901"/>
      <c r="QP2" s="901"/>
      <c r="QQ2" s="901"/>
      <c r="QR2" s="901"/>
      <c r="QS2" s="901"/>
      <c r="QT2" s="901"/>
      <c r="QU2" s="901"/>
      <c r="QV2" s="429"/>
      <c r="QW2" s="429"/>
      <c r="QX2" s="901" t="s">
        <v>130</v>
      </c>
      <c r="QY2" s="901"/>
      <c r="QZ2" s="901"/>
      <c r="RA2" s="901"/>
      <c r="RB2" s="901"/>
      <c r="RC2" s="901"/>
      <c r="RD2" s="901"/>
      <c r="RE2" s="901"/>
      <c r="RF2" s="901"/>
      <c r="RG2" s="901"/>
      <c r="RH2" s="901"/>
      <c r="RI2" s="901"/>
      <c r="RJ2" s="901"/>
      <c r="RK2" s="901"/>
      <c r="RL2" s="429"/>
      <c r="RM2" s="429"/>
      <c r="RN2" s="901" t="s">
        <v>130</v>
      </c>
      <c r="RO2" s="901"/>
      <c r="RP2" s="901"/>
      <c r="RQ2" s="901"/>
      <c r="RR2" s="901"/>
      <c r="RS2" s="901"/>
      <c r="RT2" s="901"/>
      <c r="RU2" s="901"/>
      <c r="RV2" s="901"/>
      <c r="RW2" s="901"/>
      <c r="RX2" s="901"/>
      <c r="RY2" s="901"/>
      <c r="RZ2" s="901"/>
      <c r="SA2" s="901"/>
      <c r="SB2" s="429"/>
      <c r="SC2" s="429"/>
      <c r="SD2" s="901" t="s">
        <v>130</v>
      </c>
      <c r="SE2" s="901"/>
      <c r="SF2" s="901"/>
      <c r="SG2" s="901"/>
      <c r="SH2" s="901"/>
      <c r="SI2" s="901"/>
      <c r="SJ2" s="901"/>
      <c r="SK2" s="901"/>
      <c r="SL2" s="901"/>
      <c r="SM2" s="901"/>
      <c r="SN2" s="901"/>
      <c r="SO2" s="901"/>
      <c r="SP2" s="901"/>
      <c r="SQ2" s="901"/>
      <c r="SR2" s="429"/>
      <c r="SS2" s="429"/>
      <c r="ST2" s="901" t="s">
        <v>130</v>
      </c>
      <c r="SU2" s="901"/>
      <c r="SV2" s="901"/>
      <c r="SW2" s="901"/>
      <c r="SX2" s="901"/>
      <c r="SY2" s="901"/>
      <c r="SZ2" s="901"/>
      <c r="TA2" s="901"/>
      <c r="TB2" s="901"/>
      <c r="TC2" s="901"/>
      <c r="TD2" s="901"/>
      <c r="TE2" s="901"/>
      <c r="TF2" s="901"/>
      <c r="TG2" s="901"/>
      <c r="TH2" s="429"/>
      <c r="TI2" s="429"/>
      <c r="TJ2" s="901" t="s">
        <v>130</v>
      </c>
      <c r="TK2" s="901"/>
      <c r="TL2" s="901"/>
      <c r="TM2" s="901"/>
      <c r="TN2" s="901"/>
      <c r="TO2" s="901"/>
      <c r="TP2" s="901"/>
      <c r="TQ2" s="901"/>
      <c r="TR2" s="901"/>
      <c r="TS2" s="901"/>
      <c r="TT2" s="901"/>
      <c r="TU2" s="901"/>
      <c r="TV2" s="901"/>
      <c r="TW2" s="901"/>
    </row>
    <row r="3" spans="2:543" ht="22.05" customHeight="1">
      <c r="B3" s="901" t="s">
        <v>616</v>
      </c>
      <c r="C3" s="901"/>
      <c r="D3" s="901"/>
      <c r="E3" s="901"/>
      <c r="F3" s="901"/>
      <c r="G3" s="901"/>
      <c r="H3" s="901"/>
      <c r="I3" s="901"/>
      <c r="J3" s="901"/>
      <c r="K3" s="901"/>
      <c r="L3" s="901"/>
      <c r="M3" s="901"/>
      <c r="N3" s="901"/>
      <c r="O3" s="901"/>
      <c r="R3" s="901" t="s">
        <v>615</v>
      </c>
      <c r="S3" s="901"/>
      <c r="T3" s="901"/>
      <c r="U3" s="901"/>
      <c r="V3" s="901"/>
      <c r="W3" s="901"/>
      <c r="X3" s="901"/>
      <c r="Y3" s="901"/>
      <c r="Z3" s="901"/>
      <c r="AA3" s="901"/>
      <c r="AB3" s="901"/>
      <c r="AC3" s="901"/>
      <c r="AD3" s="901"/>
      <c r="AE3" s="901"/>
      <c r="AH3" s="901" t="s">
        <v>580</v>
      </c>
      <c r="AI3" s="901"/>
      <c r="AJ3" s="901"/>
      <c r="AK3" s="901"/>
      <c r="AL3" s="901"/>
      <c r="AM3" s="901"/>
      <c r="AN3" s="901"/>
      <c r="AO3" s="901"/>
      <c r="AP3" s="901"/>
      <c r="AQ3" s="901"/>
      <c r="AR3" s="901"/>
      <c r="AS3" s="901"/>
      <c r="AT3" s="901"/>
      <c r="AU3" s="901"/>
      <c r="AX3" s="901" t="s">
        <v>499</v>
      </c>
      <c r="AY3" s="901"/>
      <c r="AZ3" s="901"/>
      <c r="BA3" s="901"/>
      <c r="BB3" s="901"/>
      <c r="BC3" s="901"/>
      <c r="BD3" s="901"/>
      <c r="BE3" s="901"/>
      <c r="BF3" s="901"/>
      <c r="BG3" s="901"/>
      <c r="BH3" s="901"/>
      <c r="BI3" s="901"/>
      <c r="BJ3" s="901"/>
      <c r="BK3" s="901"/>
      <c r="BN3" s="901" t="s">
        <v>232</v>
      </c>
      <c r="BO3" s="901"/>
      <c r="BP3" s="901"/>
      <c r="BQ3" s="901"/>
      <c r="BR3" s="901"/>
      <c r="BS3" s="901"/>
      <c r="BT3" s="901"/>
      <c r="BU3" s="901"/>
      <c r="BV3" s="901"/>
      <c r="BW3" s="901"/>
      <c r="BX3" s="901"/>
      <c r="BY3" s="901"/>
      <c r="BZ3" s="901"/>
      <c r="CA3" s="901"/>
      <c r="CD3" s="901" t="s">
        <v>181</v>
      </c>
      <c r="CE3" s="901"/>
      <c r="CF3" s="901"/>
      <c r="CG3" s="901"/>
      <c r="CH3" s="901"/>
      <c r="CI3" s="901"/>
      <c r="CJ3" s="901"/>
      <c r="CK3" s="901"/>
      <c r="CL3" s="901"/>
      <c r="CM3" s="901"/>
      <c r="CN3" s="901"/>
      <c r="CO3" s="901"/>
      <c r="CP3" s="901"/>
      <c r="CQ3" s="901"/>
      <c r="CT3" s="901" t="s">
        <v>131</v>
      </c>
      <c r="CU3" s="901"/>
      <c r="CV3" s="901"/>
      <c r="CW3" s="901"/>
      <c r="CX3" s="901"/>
      <c r="CY3" s="901"/>
      <c r="CZ3" s="901"/>
      <c r="DA3" s="901"/>
      <c r="DB3" s="901"/>
      <c r="DC3" s="901"/>
      <c r="DD3" s="901"/>
      <c r="DE3" s="901"/>
      <c r="DF3" s="901"/>
      <c r="DG3" s="901"/>
      <c r="DJ3" s="901" t="s">
        <v>132</v>
      </c>
      <c r="DK3" s="901"/>
      <c r="DL3" s="901"/>
      <c r="DM3" s="901"/>
      <c r="DN3" s="901"/>
      <c r="DO3" s="901"/>
      <c r="DP3" s="901"/>
      <c r="DQ3" s="901"/>
      <c r="DR3" s="901"/>
      <c r="DS3" s="901"/>
      <c r="DT3" s="901"/>
      <c r="DU3" s="901"/>
      <c r="DV3" s="901"/>
      <c r="DW3" s="901"/>
      <c r="DZ3" s="901" t="s">
        <v>133</v>
      </c>
      <c r="EA3" s="901"/>
      <c r="EB3" s="901"/>
      <c r="EC3" s="901"/>
      <c r="ED3" s="901"/>
      <c r="EE3" s="901"/>
      <c r="EF3" s="901"/>
      <c r="EG3" s="901"/>
      <c r="EH3" s="901"/>
      <c r="EI3" s="901"/>
      <c r="EJ3" s="901"/>
      <c r="EK3" s="901"/>
      <c r="EL3" s="901"/>
      <c r="EM3" s="901"/>
      <c r="EP3" s="901" t="s">
        <v>134</v>
      </c>
      <c r="EQ3" s="901"/>
      <c r="ER3" s="901"/>
      <c r="ES3" s="901"/>
      <c r="ET3" s="901"/>
      <c r="EU3" s="901"/>
      <c r="EV3" s="901"/>
      <c r="EW3" s="901"/>
      <c r="EX3" s="901"/>
      <c r="EY3" s="901"/>
      <c r="EZ3" s="901"/>
      <c r="FA3" s="901"/>
      <c r="FB3" s="901"/>
      <c r="FC3" s="901"/>
      <c r="FF3" s="901" t="s">
        <v>135</v>
      </c>
      <c r="FG3" s="901"/>
      <c r="FH3" s="901"/>
      <c r="FI3" s="901"/>
      <c r="FJ3" s="901"/>
      <c r="FK3" s="901"/>
      <c r="FL3" s="901"/>
      <c r="FM3" s="901"/>
      <c r="FN3" s="901"/>
      <c r="FO3" s="901"/>
      <c r="FP3" s="901"/>
      <c r="FQ3" s="901"/>
      <c r="FR3" s="901"/>
      <c r="FS3" s="901"/>
      <c r="FV3" s="901" t="s">
        <v>136</v>
      </c>
      <c r="FW3" s="901"/>
      <c r="FX3" s="901"/>
      <c r="FY3" s="901"/>
      <c r="FZ3" s="901"/>
      <c r="GA3" s="901"/>
      <c r="GB3" s="901"/>
      <c r="GC3" s="901"/>
      <c r="GD3" s="901"/>
      <c r="GE3" s="901"/>
      <c r="GF3" s="901"/>
      <c r="GG3" s="901"/>
      <c r="GH3" s="901"/>
      <c r="GI3" s="901"/>
      <c r="GL3" s="901" t="s">
        <v>137</v>
      </c>
      <c r="GM3" s="901"/>
      <c r="GN3" s="901"/>
      <c r="GO3" s="901"/>
      <c r="GP3" s="901"/>
      <c r="GQ3" s="901"/>
      <c r="GR3" s="901"/>
      <c r="GS3" s="901"/>
      <c r="GT3" s="901"/>
      <c r="GU3" s="901"/>
      <c r="GV3" s="901"/>
      <c r="GW3" s="901"/>
      <c r="GX3" s="901"/>
      <c r="GY3" s="901"/>
      <c r="HB3" s="901" t="s">
        <v>500</v>
      </c>
      <c r="HC3" s="901"/>
      <c r="HD3" s="901"/>
      <c r="HE3" s="901"/>
      <c r="HF3" s="901"/>
      <c r="HG3" s="901"/>
      <c r="HH3" s="901"/>
      <c r="HI3" s="901"/>
      <c r="HJ3" s="901"/>
      <c r="HK3" s="901"/>
      <c r="HL3" s="901"/>
      <c r="HM3" s="901"/>
      <c r="HN3" s="901"/>
      <c r="HO3" s="901"/>
      <c r="HP3" s="429"/>
      <c r="HQ3" s="429"/>
      <c r="HR3" s="901" t="s">
        <v>501</v>
      </c>
      <c r="HS3" s="901"/>
      <c r="HT3" s="901"/>
      <c r="HU3" s="901"/>
      <c r="HV3" s="901"/>
      <c r="HW3" s="901"/>
      <c r="HX3" s="901"/>
      <c r="HY3" s="901"/>
      <c r="HZ3" s="901"/>
      <c r="IA3" s="901"/>
      <c r="IB3" s="901"/>
      <c r="IC3" s="901"/>
      <c r="ID3" s="901"/>
      <c r="IE3" s="901"/>
      <c r="IF3" s="429"/>
      <c r="IG3" s="429"/>
      <c r="IH3" s="901" t="s">
        <v>502</v>
      </c>
      <c r="II3" s="901"/>
      <c r="IJ3" s="901"/>
      <c r="IK3" s="901"/>
      <c r="IL3" s="901"/>
      <c r="IM3" s="901"/>
      <c r="IN3" s="901"/>
      <c r="IO3" s="901"/>
      <c r="IP3" s="901"/>
      <c r="IQ3" s="901"/>
      <c r="IR3" s="901"/>
      <c r="IS3" s="901"/>
      <c r="IT3" s="901"/>
      <c r="IU3" s="901"/>
      <c r="IV3" s="429"/>
      <c r="IW3" s="429"/>
      <c r="IX3" s="901" t="s">
        <v>503</v>
      </c>
      <c r="IY3" s="901"/>
      <c r="IZ3" s="901"/>
      <c r="JA3" s="901"/>
      <c r="JB3" s="901"/>
      <c r="JC3" s="901"/>
      <c r="JD3" s="901"/>
      <c r="JE3" s="901"/>
      <c r="JF3" s="901"/>
      <c r="JG3" s="901"/>
      <c r="JH3" s="901"/>
      <c r="JI3" s="901"/>
      <c r="JJ3" s="901"/>
      <c r="JK3" s="901"/>
      <c r="JL3" s="429"/>
      <c r="JM3" s="429"/>
      <c r="JN3" s="901" t="s">
        <v>504</v>
      </c>
      <c r="JO3" s="901"/>
      <c r="JP3" s="901"/>
      <c r="JQ3" s="901"/>
      <c r="JR3" s="901"/>
      <c r="JS3" s="901"/>
      <c r="JT3" s="901"/>
      <c r="JU3" s="901"/>
      <c r="JV3" s="901"/>
      <c r="JW3" s="901"/>
      <c r="JX3" s="901"/>
      <c r="JY3" s="901"/>
      <c r="JZ3" s="901"/>
      <c r="KA3" s="901"/>
      <c r="KB3" s="429"/>
      <c r="KC3" s="429"/>
      <c r="KD3" s="901" t="s">
        <v>505</v>
      </c>
      <c r="KE3" s="901"/>
      <c r="KF3" s="901"/>
      <c r="KG3" s="901"/>
      <c r="KH3" s="901"/>
      <c r="KI3" s="901"/>
      <c r="KJ3" s="901"/>
      <c r="KK3" s="901"/>
      <c r="KL3" s="901"/>
      <c r="KM3" s="901"/>
      <c r="KN3" s="901"/>
      <c r="KO3" s="901"/>
      <c r="KP3" s="901"/>
      <c r="KQ3" s="901"/>
      <c r="KR3" s="429"/>
      <c r="KS3" s="429"/>
      <c r="KT3" s="901" t="s">
        <v>506</v>
      </c>
      <c r="KU3" s="901"/>
      <c r="KV3" s="901"/>
      <c r="KW3" s="901"/>
      <c r="KX3" s="901"/>
      <c r="KY3" s="901"/>
      <c r="KZ3" s="901"/>
      <c r="LA3" s="901"/>
      <c r="LB3" s="901"/>
      <c r="LC3" s="901"/>
      <c r="LD3" s="901"/>
      <c r="LE3" s="901"/>
      <c r="LF3" s="901"/>
      <c r="LG3" s="901"/>
      <c r="LH3" s="429"/>
      <c r="LI3" s="429"/>
      <c r="LJ3" s="901" t="s">
        <v>507</v>
      </c>
      <c r="LK3" s="901"/>
      <c r="LL3" s="901"/>
      <c r="LM3" s="901"/>
      <c r="LN3" s="901"/>
      <c r="LO3" s="901"/>
      <c r="LP3" s="901"/>
      <c r="LQ3" s="901"/>
      <c r="LR3" s="901"/>
      <c r="LS3" s="901"/>
      <c r="LT3" s="901"/>
      <c r="LU3" s="901"/>
      <c r="LV3" s="901"/>
      <c r="LW3" s="901"/>
      <c r="LX3" s="429"/>
      <c r="LY3" s="429"/>
      <c r="LZ3" s="901" t="s">
        <v>508</v>
      </c>
      <c r="MA3" s="901"/>
      <c r="MB3" s="901"/>
      <c r="MC3" s="901"/>
      <c r="MD3" s="901"/>
      <c r="ME3" s="901"/>
      <c r="MF3" s="901"/>
      <c r="MG3" s="901"/>
      <c r="MH3" s="901"/>
      <c r="MI3" s="901"/>
      <c r="MJ3" s="901"/>
      <c r="MK3" s="901"/>
      <c r="ML3" s="901"/>
      <c r="MM3" s="901"/>
      <c r="MN3" s="429"/>
      <c r="MO3" s="429"/>
      <c r="MP3" s="901" t="s">
        <v>509</v>
      </c>
      <c r="MQ3" s="901"/>
      <c r="MR3" s="901"/>
      <c r="MS3" s="901"/>
      <c r="MT3" s="901"/>
      <c r="MU3" s="901"/>
      <c r="MV3" s="901"/>
      <c r="MW3" s="901"/>
      <c r="MX3" s="901"/>
      <c r="MY3" s="901"/>
      <c r="MZ3" s="901"/>
      <c r="NA3" s="901"/>
      <c r="NB3" s="901"/>
      <c r="NC3" s="901"/>
      <c r="ND3" s="429"/>
      <c r="NE3" s="429"/>
      <c r="NF3" s="901" t="s">
        <v>510</v>
      </c>
      <c r="NG3" s="901"/>
      <c r="NH3" s="901"/>
      <c r="NI3" s="901"/>
      <c r="NJ3" s="901"/>
      <c r="NK3" s="901"/>
      <c r="NL3" s="901"/>
      <c r="NM3" s="901"/>
      <c r="NN3" s="901"/>
      <c r="NO3" s="901"/>
      <c r="NP3" s="901"/>
      <c r="NQ3" s="901"/>
      <c r="NR3" s="901"/>
      <c r="NS3" s="901"/>
      <c r="NT3" s="429"/>
      <c r="NU3" s="429"/>
      <c r="NV3" s="901" t="s">
        <v>511</v>
      </c>
      <c r="NW3" s="901"/>
      <c r="NX3" s="901"/>
      <c r="NY3" s="901"/>
      <c r="NZ3" s="901"/>
      <c r="OA3" s="901"/>
      <c r="OB3" s="901"/>
      <c r="OC3" s="901"/>
      <c r="OD3" s="901"/>
      <c r="OE3" s="901"/>
      <c r="OF3" s="901"/>
      <c r="OG3" s="901"/>
      <c r="OH3" s="901"/>
      <c r="OI3" s="901"/>
      <c r="OJ3" s="429"/>
      <c r="OK3" s="429"/>
      <c r="OL3" s="901" t="s">
        <v>512</v>
      </c>
      <c r="OM3" s="901"/>
      <c r="ON3" s="901"/>
      <c r="OO3" s="901"/>
      <c r="OP3" s="901"/>
      <c r="OQ3" s="901"/>
      <c r="OR3" s="901"/>
      <c r="OS3" s="901"/>
      <c r="OT3" s="901"/>
      <c r="OU3" s="901"/>
      <c r="OV3" s="901"/>
      <c r="OW3" s="901"/>
      <c r="OX3" s="901"/>
      <c r="OY3" s="901"/>
      <c r="OZ3" s="429"/>
      <c r="PA3" s="429"/>
      <c r="PB3" s="901" t="s">
        <v>513</v>
      </c>
      <c r="PC3" s="901"/>
      <c r="PD3" s="901"/>
      <c r="PE3" s="901"/>
      <c r="PF3" s="901"/>
      <c r="PG3" s="901"/>
      <c r="PH3" s="901"/>
      <c r="PI3" s="901"/>
      <c r="PJ3" s="901"/>
      <c r="PK3" s="901"/>
      <c r="PL3" s="901"/>
      <c r="PM3" s="901"/>
      <c r="PN3" s="901"/>
      <c r="PO3" s="901"/>
      <c r="PP3" s="429"/>
      <c r="PQ3" s="429"/>
      <c r="PR3" s="901" t="s">
        <v>514</v>
      </c>
      <c r="PS3" s="901"/>
      <c r="PT3" s="901"/>
      <c r="PU3" s="901"/>
      <c r="PV3" s="901"/>
      <c r="PW3" s="901"/>
      <c r="PX3" s="901"/>
      <c r="PY3" s="901"/>
      <c r="PZ3" s="901"/>
      <c r="QA3" s="901"/>
      <c r="QB3" s="901"/>
      <c r="QC3" s="901"/>
      <c r="QD3" s="901"/>
      <c r="QE3" s="901"/>
      <c r="QF3" s="429"/>
      <c r="QG3" s="429"/>
      <c r="QH3" s="901" t="s">
        <v>515</v>
      </c>
      <c r="QI3" s="901"/>
      <c r="QJ3" s="901"/>
      <c r="QK3" s="901"/>
      <c r="QL3" s="901"/>
      <c r="QM3" s="901"/>
      <c r="QN3" s="901"/>
      <c r="QO3" s="901"/>
      <c r="QP3" s="901"/>
      <c r="QQ3" s="901"/>
      <c r="QR3" s="901"/>
      <c r="QS3" s="901"/>
      <c r="QT3" s="901"/>
      <c r="QU3" s="901"/>
      <c r="QV3" s="429"/>
      <c r="QW3" s="429"/>
      <c r="QX3" s="901" t="s">
        <v>516</v>
      </c>
      <c r="QY3" s="901"/>
      <c r="QZ3" s="901"/>
      <c r="RA3" s="901"/>
      <c r="RB3" s="901"/>
      <c r="RC3" s="901"/>
      <c r="RD3" s="901"/>
      <c r="RE3" s="901"/>
      <c r="RF3" s="901"/>
      <c r="RG3" s="901"/>
      <c r="RH3" s="901"/>
      <c r="RI3" s="901"/>
      <c r="RJ3" s="901"/>
      <c r="RK3" s="901"/>
      <c r="RL3" s="429"/>
      <c r="RM3" s="429"/>
      <c r="RN3" s="901" t="s">
        <v>517</v>
      </c>
      <c r="RO3" s="901"/>
      <c r="RP3" s="901"/>
      <c r="RQ3" s="901"/>
      <c r="RR3" s="901"/>
      <c r="RS3" s="901"/>
      <c r="RT3" s="901"/>
      <c r="RU3" s="901"/>
      <c r="RV3" s="901"/>
      <c r="RW3" s="901"/>
      <c r="RX3" s="901"/>
      <c r="RY3" s="901"/>
      <c r="RZ3" s="901"/>
      <c r="SA3" s="901"/>
      <c r="SB3" s="429"/>
      <c r="SC3" s="429"/>
      <c r="SD3" s="901" t="s">
        <v>518</v>
      </c>
      <c r="SE3" s="901"/>
      <c r="SF3" s="901"/>
      <c r="SG3" s="901"/>
      <c r="SH3" s="901"/>
      <c r="SI3" s="901"/>
      <c r="SJ3" s="901"/>
      <c r="SK3" s="901"/>
      <c r="SL3" s="901"/>
      <c r="SM3" s="901"/>
      <c r="SN3" s="901"/>
      <c r="SO3" s="901"/>
      <c r="SP3" s="901"/>
      <c r="SQ3" s="901"/>
      <c r="SR3" s="429"/>
      <c r="SS3" s="429"/>
      <c r="ST3" s="901" t="s">
        <v>519</v>
      </c>
      <c r="SU3" s="901"/>
      <c r="SV3" s="901"/>
      <c r="SW3" s="901"/>
      <c r="SX3" s="901"/>
      <c r="SY3" s="901"/>
      <c r="SZ3" s="901"/>
      <c r="TA3" s="901"/>
      <c r="TB3" s="901"/>
      <c r="TC3" s="901"/>
      <c r="TD3" s="901"/>
      <c r="TE3" s="901"/>
      <c r="TF3" s="901"/>
      <c r="TG3" s="901"/>
      <c r="TH3" s="429"/>
      <c r="TI3" s="429"/>
      <c r="TJ3" s="901" t="s">
        <v>520</v>
      </c>
      <c r="TK3" s="901"/>
      <c r="TL3" s="901"/>
      <c r="TM3" s="901"/>
      <c r="TN3" s="901"/>
      <c r="TO3" s="901"/>
      <c r="TP3" s="901"/>
      <c r="TQ3" s="901"/>
      <c r="TR3" s="901"/>
      <c r="TS3" s="901"/>
      <c r="TT3" s="901"/>
      <c r="TU3" s="901"/>
      <c r="TV3" s="901"/>
      <c r="TW3" s="901"/>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sheetProtection algorithmName="SHA-512" hashValue="SQuwe5WMlq1nXCdGJN0XOSAcjpMaY02MzUA3apGHdW6y/S2W2/+jgsbplvEqXb3D5oq7ajKT7vSAqKx6HwsuDw==" saltValue="m3HOmC+lxKCevQf8K2sPEQ==" spinCount="100000" sheet="1" objects="1" scenarios="1"/>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90" t="s">
        <v>151</v>
      </c>
      <c r="C2" s="890"/>
      <c r="D2" s="890"/>
      <c r="E2" s="890"/>
      <c r="F2" s="890"/>
      <c r="G2" s="890"/>
      <c r="H2" s="890"/>
      <c r="I2" s="890"/>
      <c r="J2" s="890"/>
      <c r="K2" s="890"/>
      <c r="L2" s="890"/>
      <c r="M2" s="890"/>
      <c r="N2" s="890"/>
      <c r="O2" s="890"/>
      <c r="P2" s="890"/>
    </row>
    <row r="3" spans="2:16" ht="22.95" customHeight="1">
      <c r="B3" s="890" t="s">
        <v>483</v>
      </c>
      <c r="C3" s="890"/>
      <c r="D3" s="890"/>
      <c r="E3" s="890"/>
      <c r="F3" s="890"/>
      <c r="G3" s="890"/>
      <c r="H3" s="890"/>
      <c r="I3" s="890"/>
      <c r="J3" s="890"/>
      <c r="K3" s="890"/>
      <c r="L3" s="890"/>
      <c r="M3" s="890"/>
      <c r="N3" s="890"/>
      <c r="O3" s="890"/>
      <c r="P3" s="890"/>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sheetProtection algorithmName="SHA-512" hashValue="4N8/zxFgAPBAnFlLUZzGfxOIyrUA9lBT9fdxQcw0xp0UDVuHEeLbIRzsSSfxsNqZbYpwyZu1Y8J1sGuKJrExrg==" saltValue="IpXFchyPZ7uWJq2mPe3D4Q==" spinCount="100000" sheet="1" objects="1" scenarios="1"/>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2022-10-29T20:10:14Z</dcterms:modified>
</cp:coreProperties>
</file>