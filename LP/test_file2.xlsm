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734FE27F-F525-4ABF-AA13-7FB0C90DACE8}" xr6:coauthVersionLast="47" xr6:coauthVersionMax="47" xr10:uidLastSave="{00000000-0000-0000-0000-000000000000}"/>
  <bookViews>
    <workbookView xWindow="-108" yWindow="-108" windowWidth="23256" windowHeight="12576" tabRatio="500" firstSheet="2" activeTab="4"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state="hidden" r:id="rId13"/>
    <sheet name="Intereses en Compra Venta Bonos" sheetId="6" state="hidden" r:id="rId14"/>
    <sheet name="Ganancias Cambiarias - Contrato" sheetId="7" state="hidden" r:id="rId15"/>
    <sheet name="AAI" sheetId="49" state="hidden" r:id="rId16"/>
    <sheet name="Saldos Cash" sheetId="8" state="hidden" r:id="rId17"/>
    <sheet name="Inventario de bonos" sheetId="43" state="hidden" r:id="rId18"/>
    <sheet name="239" sheetId="9" r:id="rId19"/>
    <sheet name="Otros Ingresos" sheetId="14" state="hidden" r:id="rId20"/>
    <sheet name="Dividendos Nacionales" sheetId="10" state="hidden" r:id="rId21"/>
    <sheet name="Reducciones de Capital" sheetId="47" state="hidden" r:id="rId22"/>
    <sheet name="Dividendos Extranjero" sheetId="11" state="hidden" r:id="rId23"/>
    <sheet name="Dividendos Extranjeros - Ret" sheetId="39" state="hidden" r:id="rId24"/>
    <sheet name="PE - Real Gain Loss" sheetId="13" state="hidden" r:id="rId25"/>
    <sheet name="PE - Retenciones" sheetId="40" state="hidden" r:id="rId26"/>
    <sheet name="PE - Inventario" sheetId="48" state="hidden" r:id="rId27"/>
    <sheet name="Otras Retenciones" sheetId="15" state="hidden" r:id="rId28"/>
    <sheet name="Swap" sheetId="44" state="hidden" r:id="rId29"/>
    <sheet name="FWD" sheetId="45" state="hidden"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 r:id="rId38"/>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24" r:id="rId39"/>
    <pivotCache cacheId="34" r:id="rId40"/>
    <pivotCache cacheId="41" r:id="rId41"/>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K14" i="6" s="1"/>
  <c r="J13" i="6"/>
  <c r="H13" i="6"/>
  <c r="I13" i="6" s="1"/>
  <c r="L22" i="18"/>
  <c r="L20" i="18"/>
  <c r="K25" i="6" l="1"/>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H20" i="49"/>
  <c r="J20" i="49" s="1"/>
  <c r="Q20" i="49"/>
  <c r="U20" i="49" s="1"/>
  <c r="W20" i="49" s="1"/>
  <c r="F20" i="49"/>
  <c r="H44" i="49" s="1"/>
  <c r="I44" i="49" s="1"/>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F18" i="49"/>
  <c r="H42" i="49" s="1"/>
  <c r="I42" i="49" s="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K20" i="5" s="1"/>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D17" i="49" l="1"/>
  <c r="L105" i="8"/>
  <c r="L124" i="8"/>
  <c r="D21" i="49"/>
  <c r="Q21" i="49" s="1"/>
  <c r="L48" i="8"/>
  <c r="Q19" i="49"/>
  <c r="U19" i="49" s="1"/>
  <c r="W19" i="49" s="1"/>
  <c r="H15" i="49"/>
  <c r="J15" i="49" s="1"/>
  <c r="D10" i="49"/>
  <c r="D16" i="49"/>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H17" i="49"/>
  <c r="J17" i="49" s="1"/>
  <c r="F17" i="49"/>
  <c r="H41" i="49" s="1"/>
  <c r="I41" i="49" s="1"/>
  <c r="Q17" i="49"/>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Q10" i="49"/>
  <c r="U10" i="49" s="1"/>
  <c r="W10" i="49" s="1"/>
  <c r="H10" i="49"/>
  <c r="J10" i="49" s="1"/>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Q16" i="49"/>
  <c r="F16" i="49"/>
  <c r="H40" i="49" s="1"/>
  <c r="I40" i="49" s="1"/>
  <c r="H16" i="49"/>
  <c r="J16" i="49" s="1"/>
  <c r="S15" i="49"/>
  <c r="U39" i="49" s="1"/>
  <c r="V39" i="49" s="1"/>
  <c r="S20" i="49"/>
  <c r="U44" i="49" s="1"/>
  <c r="V44"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I122" i="48"/>
  <c r="J122" i="48" s="1"/>
  <c r="L122" i="48"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I42" i="40" s="1"/>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F21" i="49" l="1"/>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I123" i="48"/>
  <c r="J123" i="48" s="1"/>
  <c r="L123" i="48" s="1"/>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J23" i="49" s="1"/>
  <c r="K20" i="3"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J50" i="49" l="1"/>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AJ3" i="16" l="1"/>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<sst xmlns="http://schemas.openxmlformats.org/spreadsheetml/2006/main" count="2916" uniqueCount="726">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</sst>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4">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xf numFmtId="0" fontId="2" fillId="19" borderId="22" xfId="236" applyFill="1" applyBorder="1" applyAlignment="1">
      <alignment horizontal="center"/>
    </xf>
    <xf numFmtId="0" fontId="2" fillId="0" borderId="22" xfId="236" applyBorder="1"/>
    <xf numFmtId="0" fontId="0" fillId="20" borderId="23" xfId="236" applyFont="1" applyFill="1" applyBorder="1" applyAlignment="1">
      <alignment horizontal="center"/>
    </xf>
    <xf numFmtId="0" fontId="2" fillId="20" borderId="23" xfId="236" applyFill="1" applyBorder="1" applyAlignment="1">
      <alignment horizontal="center"/>
    </xf>
    <xf numFmtId="0" fontId="2" fillId="0" borderId="24" xfId="236" applyBorder="1"/>
    <xf numFmtId="0" fontId="2" fillId="19" borderId="22" xfId="236" applyFill="1" applyBorder="1" applyAlignment="1">
      <alignment horizontal="center" vertic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30" fillId="9" borderId="0" xfId="236" applyFont="1" applyFill="1" applyAlignment="1" applyProtection="1">
      <alignment horizontal="center"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0" fontId="10" fillId="0" borderId="0" xfId="0" applyFont="1" applyAlignment="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0" fontId="9" fillId="0" borderId="0" xfId="0" applyFont="1" applyFill="1" applyAlignment="1">
      <alignment horizontal="left"/>
    </xf>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border outline="0">
        <bottom style="thin">
          <color rgb="FF8BC0FF"/>
        </bottom>
      </border>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santi\JuanCarlos\CL\LP\test_file.xlsm" TargetMode="External"/><Relationship Id="rId1" Type="http://schemas.openxmlformats.org/officeDocument/2006/relationships/externalLinkPath" Target="test_fi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ckend"/>
      <sheetName val="SheetNames"/>
      <sheetName val="Cuentas"/>
      <sheetName val="Sumaria Ingresos"/>
      <sheetName val="1 Ingresos Acum &amp; No Acum"/>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Transactions"/>
      <sheetName val="Equivalencia"/>
      <sheetName val="TC"/>
      <sheetName val="INPC"/>
      <sheetName val="Rev J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89583336"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328703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456018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41"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8">
      <pivotArea dataOnly="0" grandRow="1" fieldPosition="0"/>
    </format>
    <format dxfId="687">
      <pivotArea type="all" dataOnly="0" outline="0" fieldPosition="0"/>
    </format>
    <format dxfId="686">
      <pivotArea dataOnly="0" labelOnly="1" grandRow="1" outline="0" fieldPosition="0"/>
    </format>
    <format dxfId="685">
      <pivotArea dataOnly="0" grandRow="1" axis="axisRow" fieldPosition="0"/>
    </format>
    <format dxfId="684">
      <pivotArea type="all" dataOnly="0" outline="0" fieldPosition="0"/>
    </format>
    <format dxfId="683">
      <pivotArea dataOnly="0" fieldPosition="0">
        <references count="1">
          <reference field="0" count="0" defaultSubtotal="1"/>
        </references>
      </pivotArea>
    </format>
    <format dxfId="682">
      <pivotArea outline="0" fieldPosition="0">
        <references count="1">
          <reference field="4294967294" count="1">
            <x v="0"/>
          </reference>
        </references>
      </pivotArea>
    </format>
    <format dxfId="681">
      <pivotArea dataOnly="0" labelOnly="1" outline="0" axis="axisValues" fieldPosition="0"/>
    </format>
    <format dxfId="680">
      <pivotArea dataOnly="0" labelOnly="1" outline="0" axis="axisValues" fieldPosition="0"/>
    </format>
    <format dxfId="679">
      <pivotArea dataOnly="0" outline="0" axis="axisValues" fieldPosition="0"/>
    </format>
    <format dxfId="678">
      <pivotArea dataOnly="0" labelOnly="1" outline="0" fieldPosition="0">
        <references count="1">
          <reference field="4294967294" count="2">
            <x v="0"/>
            <x v="1"/>
          </reference>
        </references>
      </pivotArea>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outline="0" fieldPosition="0">
        <references count="1">
          <reference field="4294967294" count="1">
            <x v="1"/>
          </reference>
        </references>
      </pivotArea>
    </format>
    <format dxfId="674">
      <pivotArea outline="0" fieldPosition="0">
        <references count="1">
          <reference field="4294967294" count="1">
            <x v="2"/>
          </reference>
        </references>
      </pivotArea>
    </format>
    <format dxfId="673">
      <pivotArea dataOnly="0" labelOnly="1" outline="0" fieldPosition="0">
        <references count="1">
          <reference field="4294967294" count="1">
            <x v="2"/>
          </reference>
        </references>
      </pivotArea>
    </format>
    <format dxfId="672">
      <pivotArea dataOnly="0" labelOnly="1" outline="0" fieldPosition="0">
        <references count="1">
          <reference field="4294967294" count="1">
            <x v="3"/>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outline="0" fieldPosition="0">
        <references count="1">
          <reference field="4294967294" count="1">
            <x v="3"/>
          </reference>
        </references>
      </pivotArea>
    </format>
    <format dxfId="668">
      <pivotArea outline="0" fieldPosition="0">
        <references count="1">
          <reference field="4294967294" count="1">
            <x v="5"/>
          </reference>
        </references>
      </pivotArea>
    </format>
    <format dxfId="667">
      <pivotArea dataOnly="0" labelOnly="1"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6"/>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outline="0" fieldPosition="0">
        <references count="1">
          <reference field="4294967294" count="1">
            <x v="6"/>
          </reference>
        </references>
      </pivotArea>
    </format>
    <format dxfId="660">
      <pivotArea dataOnly="0" fieldPosition="0">
        <references count="1">
          <reference field="3" count="0" defaultSubtotal="1"/>
        </references>
      </pivotArea>
    </format>
    <format dxfId="659">
      <pivotArea dataOnly="0" fieldPosition="0">
        <references count="1">
          <reference field="7" count="0" defaultSubtotal="1"/>
        </references>
      </pivotArea>
    </format>
    <format dxfId="658">
      <pivotArea dataOnly="0" labelOnly="1" fieldPosition="0">
        <references count="1">
          <reference field="7" count="0"/>
        </references>
      </pivotArea>
    </format>
    <format dxfId="657">
      <pivotArea dataOnly="0" labelOnly="1" fieldPosition="0">
        <references count="1">
          <reference field="0" count="0"/>
        </references>
      </pivotArea>
    </format>
    <format dxfId="656">
      <pivotArea dataOnly="0" labelOnly="1" outline="0" fieldPosition="0">
        <references count="1">
          <reference field="4294967294" count="1">
            <x v="0"/>
          </reference>
        </references>
      </pivotArea>
    </format>
    <format dxfId="655">
      <pivotArea field="7" type="button" dataOnly="0" labelOnly="1" outline="0" axis="axisRow" fieldPosition="0"/>
    </format>
    <format dxfId="654">
      <pivotArea dataOnly="0" labelOnly="1" fieldPosition="0">
        <references count="1">
          <reference field="7" count="0"/>
        </references>
      </pivotArea>
    </format>
    <format dxfId="653">
      <pivotArea type="all" dataOnly="0" outline="0" fieldPosition="0"/>
    </format>
    <format dxfId="652">
      <pivotArea outline="0" collapsedLevelsAreSubtotals="1" fieldPosition="0"/>
    </format>
    <format dxfId="651">
      <pivotArea field="7" type="button" dataOnly="0" labelOnly="1" outline="0" axis="axisRow" fieldPosition="0"/>
    </format>
    <format dxfId="650">
      <pivotArea dataOnly="0" labelOnly="1" fieldPosition="0">
        <references count="1">
          <reference field="7" count="0"/>
        </references>
      </pivotArea>
    </format>
    <format dxfId="649">
      <pivotArea dataOnly="0" labelOnly="1" fieldPosition="0">
        <references count="1">
          <reference field="7" count="0" defaultSubtotal="1"/>
        </references>
      </pivotArea>
    </format>
    <format dxfId="648">
      <pivotArea dataOnly="0" labelOnly="1" grandRow="1" outline="0" fieldPosition="0"/>
    </format>
    <format dxfId="647">
      <pivotArea dataOnly="0" labelOnly="1" outline="0" fieldPosition="0">
        <references count="1">
          <reference field="4294967294" count="6">
            <x v="0"/>
            <x v="1"/>
            <x v="2"/>
            <x v="3"/>
            <x v="5"/>
            <x v="6"/>
          </reference>
        </references>
      </pivotArea>
    </format>
    <format dxfId="646">
      <pivotArea field="7" type="button" dataOnly="0" labelOnly="1" outline="0" axis="axisRow" fieldPosition="0"/>
    </format>
    <format dxfId="645">
      <pivotArea dataOnly="0" labelOnly="1" outline="0" fieldPosition="0">
        <references count="1">
          <reference field="4294967294" count="6">
            <x v="0"/>
            <x v="1"/>
            <x v="2"/>
            <x v="3"/>
            <x v="5"/>
            <x v="6"/>
          </reference>
        </references>
      </pivotArea>
    </format>
    <format dxfId="644">
      <pivotArea field="7" type="button" dataOnly="0" labelOnly="1" outline="0" axis="axisRow" fieldPosition="0"/>
    </format>
    <format dxfId="643">
      <pivotArea dataOnly="0" labelOnly="1" outline="0" fieldPosition="0">
        <references count="1">
          <reference field="4294967294" count="6">
            <x v="0"/>
            <x v="1"/>
            <x v="2"/>
            <x v="3"/>
            <x v="5"/>
            <x v="6"/>
          </reference>
        </references>
      </pivotArea>
    </format>
    <format dxfId="642">
      <pivotArea field="7" type="button" dataOnly="0" labelOnly="1" outline="0" axis="axisRow" fieldPosition="0"/>
    </format>
    <format dxfId="641">
      <pivotArea dataOnly="0" labelOnly="1" outline="0" fieldPosition="0">
        <references count="1">
          <reference field="4294967294" count="6">
            <x v="0"/>
            <x v="1"/>
            <x v="2"/>
            <x v="3"/>
            <x v="5"/>
            <x v="6"/>
          </reference>
        </references>
      </pivotArea>
    </format>
    <format dxfId="640">
      <pivotArea dataOnly="0" fieldPosition="0">
        <references count="1">
          <reference field="0" count="0" defaultSubtotal="1"/>
        </references>
      </pivotArea>
    </format>
    <format dxfId="639">
      <pivotArea dataOnly="0" fieldPosition="0">
        <references count="1">
          <reference field="0" count="0" defaultSubtotal="1"/>
        </references>
      </pivotArea>
    </format>
    <format dxfId="638">
      <pivotArea dataOnly="0" fieldPosition="0">
        <references count="1">
          <reference field="3" count="0" defaultSubtotal="1"/>
        </references>
      </pivotArea>
    </format>
    <format dxfId="637">
      <pivotArea dataOnly="0" fieldPosition="0">
        <references count="1">
          <reference field="3" count="0" defaultSubtotal="1"/>
        </references>
      </pivotArea>
    </format>
    <format dxfId="636">
      <pivotArea dataOnly="0" fieldPosition="0">
        <references count="1">
          <reference field="7" count="0" defaultSubtotal="1"/>
        </references>
      </pivotArea>
    </format>
    <format dxfId="635">
      <pivotArea dataOnly="0" fieldPosition="0">
        <references count="1">
          <reference field="7" count="0" defaultSubtotal="1"/>
        </references>
      </pivotArea>
    </format>
    <format dxfId="634">
      <pivotArea grandRow="1" outline="0" collapsedLevelsAreSubtotals="1" fieldPosition="0"/>
    </format>
    <format dxfId="633">
      <pivotArea dataOnly="0" labelOnly="1" grandRow="1" outline="0" fieldPosition="0"/>
    </format>
    <format dxfId="632">
      <pivotArea outline="0" fieldPosition="0">
        <references count="1">
          <reference field="4294967294" count="1">
            <x v="4"/>
          </reference>
        </references>
      </pivotArea>
    </format>
    <format dxfId="631">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41"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30">
      <pivotArea dataOnly="0" grandRow="1" fieldPosition="0"/>
    </format>
    <format dxfId="629">
      <pivotArea type="all" dataOnly="0" outline="0" fieldPosition="0"/>
    </format>
    <format dxfId="628">
      <pivotArea grandRow="1" outline="0" collapsedLevelsAreSubtotals="1" fieldPosition="0"/>
    </format>
    <format dxfId="627">
      <pivotArea dataOnly="0" labelOnly="1" grandRow="1" outline="0" fieldPosition="0"/>
    </format>
    <format dxfId="626">
      <pivotArea dataOnly="0" grandRow="1" axis="axisRow" fieldPosition="0"/>
    </format>
    <format dxfId="625">
      <pivotArea type="all" dataOnly="0" outline="0" fieldPosition="0"/>
    </format>
    <format dxfId="624">
      <pivotArea dataOnly="0" fieldPosition="0">
        <references count="1">
          <reference field="0" count="0" defaultSubtotal="1"/>
        </references>
      </pivotArea>
    </format>
    <format dxfId="623">
      <pivotArea outline="0" fieldPosition="0">
        <references count="1">
          <reference field="4294967294" count="1">
            <x v="0"/>
          </reference>
        </references>
      </pivotArea>
    </format>
    <format dxfId="622">
      <pivotArea dataOnly="0" labelOnly="1" outline="0" axis="axisValues" fieldPosition="0"/>
    </format>
    <format dxfId="621">
      <pivotArea dataOnly="0" labelOnly="1" outline="0" axis="axisValues" fieldPosition="0"/>
    </format>
    <format dxfId="620">
      <pivotArea dataOnly="0" outline="0" axis="axisValues" fieldPosition="0"/>
    </format>
    <format dxfId="619">
      <pivotArea dataOnly="0" labelOnly="1" outline="0" fieldPosition="0">
        <references count="1">
          <reference field="4294967294" count="2">
            <x v="0"/>
            <x v="1"/>
          </reference>
        </references>
      </pivotArea>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outline="0" fieldPosition="0">
        <references count="1">
          <reference field="4294967294" count="1">
            <x v="1"/>
          </reference>
        </references>
      </pivotArea>
    </format>
    <format dxfId="615">
      <pivotArea outline="0" fieldPosition="0">
        <references count="1">
          <reference field="4294967294" count="1">
            <x v="2"/>
          </reference>
        </references>
      </pivotArea>
    </format>
    <format dxfId="614">
      <pivotArea dataOnly="0" labelOnly="1" outline="0" fieldPosition="0">
        <references count="1">
          <reference field="4294967294" count="1">
            <x v="2"/>
          </reference>
        </references>
      </pivotArea>
    </format>
    <format dxfId="613">
      <pivotArea dataOnly="0" labelOnly="1" outline="0" fieldPosition="0">
        <references count="1">
          <reference field="4294967294" count="1">
            <x v="3"/>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outline="0" fieldPosition="0">
        <references count="1">
          <reference field="4294967294" count="1">
            <x v="3"/>
          </reference>
        </references>
      </pivotArea>
    </format>
    <format dxfId="609">
      <pivotArea outline="0" fieldPosition="0">
        <references count="1">
          <reference field="4294967294" count="1">
            <x v="5"/>
          </reference>
        </references>
      </pivotArea>
    </format>
    <format dxfId="608">
      <pivotArea dataOnly="0" labelOnly="1"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6"/>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outline="0" fieldPosition="0">
        <references count="1">
          <reference field="4294967294" count="1">
            <x v="6"/>
          </reference>
        </references>
      </pivotArea>
    </format>
    <format dxfId="601">
      <pivotArea dataOnly="0" fieldPosition="0">
        <references count="1">
          <reference field="3" count="0" defaultSubtotal="1"/>
        </references>
      </pivotArea>
    </format>
    <format dxfId="600">
      <pivotArea dataOnly="0" fieldPosition="0">
        <references count="1">
          <reference field="7" count="0" defaultSubtotal="1"/>
        </references>
      </pivotArea>
    </format>
    <format dxfId="599">
      <pivotArea dataOnly="0" labelOnly="1" fieldPosition="0">
        <references count="1">
          <reference field="7" count="0"/>
        </references>
      </pivotArea>
    </format>
    <format dxfId="598">
      <pivotArea dataOnly="0" labelOnly="1" fieldPosition="0">
        <references count="1">
          <reference field="0" count="0"/>
        </references>
      </pivotArea>
    </format>
    <format dxfId="597">
      <pivotArea dataOnly="0" labelOnly="1" outline="0" fieldPosition="0">
        <references count="1">
          <reference field="4294967294" count="1">
            <x v="0"/>
          </reference>
        </references>
      </pivotArea>
    </format>
    <format dxfId="596">
      <pivotArea dataOnly="0" labelOnly="1" fieldPosition="0">
        <references count="1">
          <reference field="7" count="0"/>
        </references>
      </pivotArea>
    </format>
    <format dxfId="595">
      <pivotArea type="all" dataOnly="0" outline="0" fieldPosition="0"/>
    </format>
    <format dxfId="594">
      <pivotArea outline="0" collapsedLevelsAreSubtotals="1" fieldPosition="0"/>
    </format>
    <format dxfId="593">
      <pivotArea field="7" type="button" dataOnly="0" labelOnly="1" outline="0" axis="axisRow" fieldPosition="0"/>
    </format>
    <format dxfId="592">
      <pivotArea dataOnly="0" labelOnly="1" grandRow="1" outline="0" fieldPosition="0"/>
    </format>
    <format dxfId="591">
      <pivotArea dataOnly="0" labelOnly="1" outline="0" fieldPosition="0">
        <references count="1">
          <reference field="4294967294" count="6">
            <x v="0"/>
            <x v="1"/>
            <x v="2"/>
            <x v="3"/>
            <x v="5"/>
            <x v="6"/>
          </reference>
        </references>
      </pivotArea>
    </format>
    <format dxfId="590">
      <pivotArea field="7" type="button" dataOnly="0" labelOnly="1" outline="0" axis="axisRow" fieldPosition="0"/>
    </format>
    <format dxfId="589">
      <pivotArea dataOnly="0" labelOnly="1" outline="0" fieldPosition="0">
        <references count="1">
          <reference field="4294967294" count="6">
            <x v="0"/>
            <x v="1"/>
            <x v="2"/>
            <x v="3"/>
            <x v="5"/>
            <x v="6"/>
          </reference>
        </references>
      </pivotArea>
    </format>
    <format dxfId="588">
      <pivotArea field="7" type="button" dataOnly="0" labelOnly="1" outline="0" axis="axisRow" fieldPosition="0"/>
    </format>
    <format dxfId="587">
      <pivotArea dataOnly="0" labelOnly="1" outline="0" fieldPosition="0">
        <references count="1">
          <reference field="4294967294" count="6">
            <x v="0"/>
            <x v="1"/>
            <x v="2"/>
            <x v="3"/>
            <x v="5"/>
            <x v="6"/>
          </reference>
        </references>
      </pivotArea>
    </format>
    <format dxfId="586">
      <pivotArea field="7" type="button" dataOnly="0" labelOnly="1" outline="0" axis="axisRow" fieldPosition="0"/>
    </format>
    <format dxfId="585">
      <pivotArea dataOnly="0" labelOnly="1" outline="0" fieldPosition="0">
        <references count="1">
          <reference field="4294967294" count="6">
            <x v="0"/>
            <x v="1"/>
            <x v="2"/>
            <x v="3"/>
            <x v="5"/>
            <x v="6"/>
          </reference>
        </references>
      </pivotArea>
    </format>
    <format dxfId="584">
      <pivotArea dataOnly="0" fieldPosition="0">
        <references count="1">
          <reference field="0" count="0" defaultSubtotal="1"/>
        </references>
      </pivotArea>
    </format>
    <format dxfId="583">
      <pivotArea dataOnly="0" fieldPosition="0">
        <references count="1">
          <reference field="3" count="0" defaultSubtotal="1"/>
        </references>
      </pivotArea>
    </format>
    <format dxfId="582">
      <pivotArea dataOnly="0" fieldPosition="0">
        <references count="1">
          <reference field="3" count="0" defaultSubtotal="1"/>
        </references>
      </pivotArea>
    </format>
    <format dxfId="581">
      <pivotArea dataOnly="0" fieldPosition="0">
        <references count="1">
          <reference field="7" count="0" defaultSubtotal="1"/>
        </references>
      </pivotArea>
    </format>
    <format dxfId="580">
      <pivotArea field="7" dataOnly="0" grandRow="1" axis="axisRow" fieldPosition="0">
        <references count="1">
          <reference field="7" count="0"/>
        </references>
      </pivotArea>
    </format>
    <format dxfId="579">
      <pivotArea outline="0" collapsedLevelsAreSubtotals="1" fieldPosition="0">
        <references count="1">
          <reference field="4294967294" count="1" selected="0">
            <x v="0"/>
          </reference>
        </references>
      </pivotArea>
    </format>
    <format dxfId="578">
      <pivotArea dataOnly="0" labelOnly="1" outline="0" fieldPosition="0">
        <references count="1">
          <reference field="4294967294" count="1">
            <x v="0"/>
          </reference>
        </references>
      </pivotArea>
    </format>
    <format dxfId="577">
      <pivotArea dataOnly="0" labelOnly="1" outline="0" fieldPosition="0">
        <references count="1">
          <reference field="4294967294" count="1">
            <x v="4"/>
          </reference>
        </references>
      </pivotArea>
    </format>
    <format dxfId="576">
      <pivotArea outline="0" fieldPosition="0">
        <references count="1">
          <reference field="4294967294" count="1">
            <x v="4"/>
          </reference>
        </references>
      </pivotArea>
    </format>
    <format dxfId="575">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24"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4">
      <pivotArea dataOnly="0" labelOnly="1" fieldPosition="0">
        <references count="1">
          <reference field="19" count="0"/>
        </references>
      </pivotArea>
    </format>
    <format dxfId="573">
      <pivotArea dataOnly="0" labelOnly="1" fieldPosition="0">
        <references count="1">
          <reference field="6" count="0"/>
        </references>
      </pivotArea>
    </format>
    <format dxfId="572">
      <pivotArea dataOnly="0" labelOnly="1" fieldPosition="0">
        <references count="1">
          <reference field="6" count="0"/>
        </references>
      </pivotArea>
    </format>
    <format dxfId="571">
      <pivotArea dataOnly="0" labelOnly="1" fieldPosition="0">
        <references count="1">
          <reference field="19" count="0"/>
        </references>
      </pivotArea>
    </format>
    <format dxfId="570">
      <pivotArea outline="0" fieldPosition="0">
        <references count="1">
          <reference field="4294967294" count="1">
            <x v="0"/>
          </reference>
        </references>
      </pivotArea>
    </format>
    <format dxfId="569">
      <pivotArea dataOnly="0" labelOnly="1" fieldPosition="0">
        <references count="1">
          <reference field="8" count="0"/>
        </references>
      </pivotArea>
    </format>
    <format dxfId="568">
      <pivotArea type="all" dataOnly="0" outline="0" fieldPosition="0"/>
    </format>
    <format dxfId="567">
      <pivotArea field="8" type="button" dataOnly="0" labelOnly="1" outline="0" axis="axisRow" fieldPosition="1"/>
    </format>
    <format dxfId="566">
      <pivotArea field="0" type="button" dataOnly="0" labelOnly="1" outline="0" axis="axisRow" fieldPosition="3"/>
    </format>
    <format dxfId="565">
      <pivotArea field="1" type="button" dataOnly="0" labelOnly="1" outline="0" axis="axisRow" fieldPosition="2"/>
    </format>
    <format dxfId="564">
      <pivotArea field="3" type="button" dataOnly="0" labelOnly="1" outline="0" axis="axisRow" fieldPosition="4"/>
    </format>
    <format dxfId="563">
      <pivotArea field="6" type="button" dataOnly="0" labelOnly="1" outline="0" axis="axisRow" fieldPosition="5"/>
    </format>
    <format dxfId="562">
      <pivotArea field="2" type="button" dataOnly="0" labelOnly="1" outline="0"/>
    </format>
    <format dxfId="561">
      <pivotArea field="5" type="button" dataOnly="0" labelOnly="1" outline="0"/>
    </format>
    <format dxfId="560">
      <pivotArea field="21" type="button" dataOnly="0" labelOnly="1" outline="0"/>
    </format>
    <format dxfId="559">
      <pivotArea field="20" type="button" dataOnly="0" labelOnly="1" outline="0"/>
    </format>
    <format dxfId="558">
      <pivotArea field="19" type="button" dataOnly="0" labelOnly="1" outline="0" axis="axisRow" fieldPosition="6"/>
    </format>
    <format dxfId="557">
      <pivotArea dataOnly="0" labelOnly="1" outline="0" fieldPosition="0">
        <references count="1">
          <reference field="4294967294" count="5">
            <x v="0"/>
            <x v="1"/>
            <x v="3"/>
            <x v="4"/>
            <x v="5"/>
          </reference>
        </references>
      </pivotArea>
    </format>
    <format dxfId="556">
      <pivotArea field="8" type="button" dataOnly="0" labelOnly="1" outline="0" axis="axisRow" fieldPosition="1"/>
    </format>
    <format dxfId="555">
      <pivotArea field="8" type="button" dataOnly="0" labelOnly="1" outline="0" axis="axisRow" fieldPosition="1"/>
    </format>
    <format dxfId="554">
      <pivotArea field="8" type="button" dataOnly="0" labelOnly="1" outline="0" axis="axisRow" fieldPosition="1"/>
    </format>
    <format dxfId="553">
      <pivotArea field="0" type="button" dataOnly="0" labelOnly="1" outline="0" axis="axisRow" fieldPosition="3"/>
    </format>
    <format dxfId="552">
      <pivotArea field="0" type="button" dataOnly="0" labelOnly="1" outline="0" axis="axisRow" fieldPosition="3"/>
    </format>
    <format dxfId="551">
      <pivotArea field="0" type="button" dataOnly="0" labelOnly="1" outline="0" axis="axisRow" fieldPosition="3"/>
    </format>
    <format dxfId="550">
      <pivotArea field="1" type="button" dataOnly="0" labelOnly="1" outline="0" axis="axisRow" fieldPosition="2"/>
    </format>
    <format dxfId="549">
      <pivotArea field="3" type="button" dataOnly="0" labelOnly="1" outline="0" axis="axisRow" fieldPosition="4"/>
    </format>
    <format dxfId="548">
      <pivotArea field="3" type="button" dataOnly="0" labelOnly="1" outline="0" axis="axisRow" fieldPosition="4"/>
    </format>
    <format dxfId="547">
      <pivotArea field="3" type="button" dataOnly="0" labelOnly="1" outline="0" axis="axisRow" fieldPosition="4"/>
    </format>
    <format dxfId="546">
      <pivotArea field="6" type="button" dataOnly="0" labelOnly="1" outline="0" axis="axisRow" fieldPosition="5"/>
    </format>
    <format dxfId="545">
      <pivotArea field="6" type="button" dataOnly="0" labelOnly="1" outline="0" axis="axisRow" fieldPosition="5"/>
    </format>
    <format dxfId="544">
      <pivotArea field="6" type="button" dataOnly="0" labelOnly="1" outline="0" axis="axisRow" fieldPosition="5"/>
    </format>
    <format dxfId="543">
      <pivotArea field="2" type="button" dataOnly="0" labelOnly="1" outline="0"/>
    </format>
    <format dxfId="542">
      <pivotArea field="5" type="button" dataOnly="0" labelOnly="1" outline="0"/>
    </format>
    <format dxfId="541">
      <pivotArea field="5" type="button" dataOnly="0" labelOnly="1" outline="0"/>
    </format>
    <format dxfId="540">
      <pivotArea field="5" type="button" dataOnly="0" labelOnly="1" outline="0"/>
    </format>
    <format dxfId="539">
      <pivotArea field="21" type="button" dataOnly="0" labelOnly="1" outline="0"/>
    </format>
    <format dxfId="538">
      <pivotArea field="21" type="button" dataOnly="0" labelOnly="1" outline="0"/>
    </format>
    <format dxfId="537">
      <pivotArea field="21" type="button" dataOnly="0" labelOnly="1" outline="0"/>
    </format>
    <format dxfId="536">
      <pivotArea field="20" type="button" dataOnly="0" labelOnly="1" outline="0"/>
    </format>
    <format dxfId="535">
      <pivotArea field="20" type="button" dataOnly="0" labelOnly="1" outline="0"/>
    </format>
    <format dxfId="534">
      <pivotArea field="20" type="button" dataOnly="0" labelOnly="1" outline="0"/>
    </format>
    <format dxfId="533">
      <pivotArea field="19" type="button" dataOnly="0" labelOnly="1" outline="0" axis="axisRow" fieldPosition="6"/>
    </format>
    <format dxfId="532">
      <pivotArea field="19" type="button" dataOnly="0" labelOnly="1" outline="0" axis="axisRow" fieldPosition="6"/>
    </format>
    <format dxfId="531">
      <pivotArea field="19" type="button" dataOnly="0" labelOnly="1" outline="0" axis="axisRow" fieldPosition="6"/>
    </format>
    <format dxfId="530">
      <pivotArea dataOnly="0" labelOnly="1" outline="0" fieldPosition="0">
        <references count="1">
          <reference field="4294967294" count="1">
            <x v="0"/>
          </reference>
        </references>
      </pivotArea>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3"/>
          </reference>
        </references>
      </pivotArea>
    </format>
    <format dxfId="527">
      <pivotArea dataOnly="0" labelOnly="1" outline="0" fieldPosition="0">
        <references count="1">
          <reference field="4294967294" count="1">
            <x v="3"/>
          </reference>
        </references>
      </pivotArea>
    </format>
    <format dxfId="526">
      <pivotArea outline="0" fieldPosition="0">
        <references count="1">
          <reference field="4294967294" count="1">
            <x v="3"/>
          </reference>
        </references>
      </pivotArea>
    </format>
    <format dxfId="525">
      <pivotArea dataOnly="0" labelOnly="1" outline="0" fieldPosition="0">
        <references count="1">
          <reference field="4294967294" count="1">
            <x v="1"/>
          </reference>
        </references>
      </pivotArea>
    </format>
    <format dxfId="524">
      <pivotArea dataOnly="0" labelOnly="1" outline="0" fieldPosition="0">
        <references count="1">
          <reference field="4294967294" count="1">
            <x v="1"/>
          </reference>
        </references>
      </pivotArea>
    </format>
    <format dxfId="523">
      <pivotArea outline="0" fieldPosition="0">
        <references count="1">
          <reference field="4294967294" count="1">
            <x v="1"/>
          </reference>
        </references>
      </pivotArea>
    </format>
    <format dxfId="522">
      <pivotArea outline="0" fieldPosition="0">
        <references count="1">
          <reference field="4294967294" count="1">
            <x v="4"/>
          </reference>
        </references>
      </pivotArea>
    </format>
    <format dxfId="521">
      <pivotArea dataOnly="0" labelOnly="1" outline="0" fieldPosition="0">
        <references count="1">
          <reference field="4294967294" count="1">
            <x v="4"/>
          </reference>
        </references>
      </pivotArea>
    </format>
    <format dxfId="520">
      <pivotArea outline="0" fieldPosition="0">
        <references count="1">
          <reference field="4294967294" count="1">
            <x v="5"/>
          </reference>
        </references>
      </pivotArea>
    </format>
    <format dxfId="519">
      <pivotArea dataOnly="0" labelOnly="1"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fieldPosition="0">
        <references count="1">
          <reference field="3" count="0" defaultSubtotal="1"/>
        </references>
      </pivotArea>
    </format>
    <format dxfId="516">
      <pivotArea dataOnly="0" fieldPosition="0">
        <references count="1">
          <reference field="1" count="0" defaultSubtotal="1"/>
        </references>
      </pivotArea>
    </format>
    <format dxfId="515">
      <pivotArea dataOnly="0" fieldPosition="0">
        <references count="1">
          <reference field="0" count="0" defaultSubtotal="1"/>
        </references>
      </pivotArea>
    </format>
    <format dxfId="514">
      <pivotArea dataOnly="0" fieldPosition="0">
        <references count="1">
          <reference field="8"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grandRow="1" fieldPosition="0"/>
    </format>
    <format dxfId="510">
      <pivotArea dataOnly="0" grandRow="1" fieldPosition="0"/>
    </format>
    <format dxfId="509">
      <pivotArea dataOnly="0" grandRow="1" fieldPosition="0"/>
    </format>
    <format dxfId="508">
      <pivotArea type="all" dataOnly="0" outline="0" fieldPosition="0"/>
    </format>
    <format dxfId="507">
      <pivotArea outline="0" collapsedLevelsAreSubtotals="1" fieldPosition="0"/>
    </format>
    <format dxfId="506">
      <pivotArea field="8" type="button" dataOnly="0" labelOnly="1" outline="0" axis="axisRow" fieldPosition="1"/>
    </format>
    <format dxfId="505">
      <pivotArea field="1" type="button" dataOnly="0" labelOnly="1" outline="0" axis="axisRow" fieldPosition="2"/>
    </format>
    <format dxfId="504">
      <pivotArea field="0" type="button" dataOnly="0" labelOnly="1" outline="0" axis="axisRow" fieldPosition="3"/>
    </format>
    <format dxfId="503">
      <pivotArea field="3" type="button" dataOnly="0" labelOnly="1" outline="0" axis="axisRow" fieldPosition="4"/>
    </format>
    <format dxfId="502">
      <pivotArea field="6" type="button" dataOnly="0" labelOnly="1" outline="0" axis="axisRow" fieldPosition="5"/>
    </format>
    <format dxfId="501">
      <pivotArea field="2" type="button" dataOnly="0" labelOnly="1" outline="0"/>
    </format>
    <format dxfId="500">
      <pivotArea field="5" type="button" dataOnly="0" labelOnly="1" outline="0"/>
    </format>
    <format dxfId="499">
      <pivotArea field="21" type="button" dataOnly="0" labelOnly="1" outline="0"/>
    </format>
    <format dxfId="498">
      <pivotArea field="20" type="button" dataOnly="0" labelOnly="1" outline="0"/>
    </format>
    <format dxfId="497">
      <pivotArea field="19" type="button" dataOnly="0" labelOnly="1" outline="0" axis="axisRow" fieldPosition="6"/>
    </format>
    <format dxfId="496">
      <pivotArea dataOnly="0" labelOnly="1" grandRow="1" outline="0" fieldPosition="0"/>
    </format>
    <format dxfId="495">
      <pivotArea dataOnly="0" labelOnly="1" outline="0" fieldPosition="0">
        <references count="1">
          <reference field="4294967294" count="5">
            <x v="0"/>
            <x v="1"/>
            <x v="3"/>
            <x v="4"/>
            <x v="5"/>
          </reference>
        </references>
      </pivotArea>
    </format>
    <format dxfId="494">
      <pivotArea field="8" type="button" dataOnly="0" labelOnly="1" outline="0" axis="axisRow" fieldPosition="1"/>
    </format>
    <format dxfId="493">
      <pivotArea field="1" type="button" dataOnly="0" labelOnly="1" outline="0" axis="axisRow" fieldPosition="2"/>
    </format>
    <format dxfId="492">
      <pivotArea field="0" type="button" dataOnly="0" labelOnly="1" outline="0" axis="axisRow" fieldPosition="3"/>
    </format>
    <format dxfId="491">
      <pivotArea field="3" type="button" dataOnly="0" labelOnly="1" outline="0" axis="axisRow" fieldPosition="4"/>
    </format>
    <format dxfId="490">
      <pivotArea field="6" type="button" dataOnly="0" labelOnly="1" outline="0" axis="axisRow" fieldPosition="5"/>
    </format>
    <format dxfId="489">
      <pivotArea field="2" type="button" dataOnly="0" labelOnly="1" outline="0"/>
    </format>
    <format dxfId="488">
      <pivotArea field="5" type="button" dataOnly="0" labelOnly="1" outline="0"/>
    </format>
    <format dxfId="487">
      <pivotArea field="21" type="button" dataOnly="0" labelOnly="1" outline="0"/>
    </format>
    <format dxfId="486">
      <pivotArea field="20" type="button" dataOnly="0" labelOnly="1" outline="0"/>
    </format>
    <format dxfId="485">
      <pivotArea field="19" type="button" dataOnly="0" labelOnly="1" outline="0" axis="axisRow" fieldPosition="6"/>
    </format>
    <format dxfId="484">
      <pivotArea dataOnly="0" labelOnly="1" outline="0" fieldPosition="0">
        <references count="1">
          <reference field="4294967294" count="5">
            <x v="0"/>
            <x v="1"/>
            <x v="3"/>
            <x v="4"/>
            <x v="5"/>
          </reference>
        </references>
      </pivotArea>
    </format>
    <format dxfId="483">
      <pivotArea field="8" type="button" dataOnly="0" labelOnly="1" outline="0" axis="axisRow" fieldPosition="1"/>
    </format>
    <format dxfId="482">
      <pivotArea field="1" type="button" dataOnly="0" labelOnly="1" outline="0" axis="axisRow" fieldPosition="2"/>
    </format>
    <format dxfId="481">
      <pivotArea field="0" type="button" dataOnly="0" labelOnly="1" outline="0" axis="axisRow" fieldPosition="3"/>
    </format>
    <format dxfId="480">
      <pivotArea field="3" type="button" dataOnly="0" labelOnly="1" outline="0" axis="axisRow" fieldPosition="4"/>
    </format>
    <format dxfId="479">
      <pivotArea field="6" type="button" dataOnly="0" labelOnly="1" outline="0" axis="axisRow" fieldPosition="5"/>
    </format>
    <format dxfId="478">
      <pivotArea field="2" type="button" dataOnly="0" labelOnly="1" outline="0"/>
    </format>
    <format dxfId="477">
      <pivotArea field="5" type="button" dataOnly="0" labelOnly="1" outline="0"/>
    </format>
    <format dxfId="476">
      <pivotArea field="21" type="button" dataOnly="0" labelOnly="1" outline="0"/>
    </format>
    <format dxfId="475">
      <pivotArea field="20" type="button" dataOnly="0" labelOnly="1" outline="0"/>
    </format>
    <format dxfId="474">
      <pivotArea field="19" type="button" dataOnly="0" labelOnly="1" outline="0" axis="axisRow" fieldPosition="6"/>
    </format>
    <format dxfId="473">
      <pivotArea dataOnly="0" labelOnly="1" outline="0" fieldPosition="0">
        <references count="1">
          <reference field="4294967294" count="5">
            <x v="0"/>
            <x v="1"/>
            <x v="3"/>
            <x v="4"/>
            <x v="5"/>
          </reference>
        </references>
      </pivotArea>
    </format>
    <format dxfId="472">
      <pivotArea field="19" type="button" dataOnly="0" labelOnly="1" outline="0" axis="axisRow" fieldPosition="6"/>
    </format>
    <format dxfId="471">
      <pivotArea dataOnly="0" labelOnly="1" outline="0" fieldPosition="0">
        <references count="1">
          <reference field="4294967294" count="5">
            <x v="0"/>
            <x v="1"/>
            <x v="3"/>
            <x v="4"/>
            <x v="5"/>
          </reference>
        </references>
      </pivotArea>
    </format>
    <format dxfId="470">
      <pivotArea field="8" type="button" dataOnly="0" labelOnly="1" outline="0" axis="axisRow" fieldPosition="1"/>
    </format>
    <format dxfId="469">
      <pivotArea field="1" type="button" dataOnly="0" labelOnly="1" outline="0" axis="axisRow" fieldPosition="2"/>
    </format>
    <format dxfId="468">
      <pivotArea field="0" type="button" dataOnly="0" labelOnly="1" outline="0" axis="axisRow" fieldPosition="3"/>
    </format>
    <format dxfId="467">
      <pivotArea field="3" type="button" dataOnly="0" labelOnly="1" outline="0" axis="axisRow" fieldPosition="4"/>
    </format>
    <format dxfId="466">
      <pivotArea field="6" type="button" dataOnly="0" labelOnly="1" outline="0" axis="axisRow" fieldPosition="5"/>
    </format>
    <format dxfId="465">
      <pivotArea field="2" type="button" dataOnly="0" labelOnly="1" outline="0"/>
    </format>
    <format dxfId="464">
      <pivotArea field="5" type="button" dataOnly="0" labelOnly="1" outline="0"/>
    </format>
    <format dxfId="463">
      <pivotArea field="21" type="button" dataOnly="0" labelOnly="1" outline="0"/>
    </format>
    <format dxfId="462">
      <pivotArea field="20" type="button" dataOnly="0" labelOnly="1" outline="0"/>
    </format>
    <format dxfId="461">
      <pivotArea dataOnly="0" fieldPosition="0">
        <references count="1">
          <reference field="3" count="0" defaultSubtotal="1"/>
        </references>
      </pivotArea>
    </format>
    <format dxfId="460">
      <pivotArea dataOnly="0" fieldPosition="0">
        <references count="1">
          <reference field="3" count="0" defaultSubtotal="1"/>
        </references>
      </pivotArea>
    </format>
    <format dxfId="459">
      <pivotArea dataOnly="0" fieldPosition="0">
        <references count="1">
          <reference field="0" count="0" defaultSubtotal="1"/>
        </references>
      </pivotArea>
    </format>
    <format dxfId="458">
      <pivotArea dataOnly="0" fieldPosition="0">
        <references count="1">
          <reference field="0" count="0" defaultSubtotal="1"/>
        </references>
      </pivotArea>
    </format>
    <format dxfId="457">
      <pivotArea dataOnly="0" fieldPosition="0">
        <references count="1">
          <reference field="1" count="0" defaultSubtotal="1"/>
        </references>
      </pivotArea>
    </format>
    <format dxfId="456">
      <pivotArea dataOnly="0" fieldPosition="0">
        <references count="1">
          <reference field="1" count="0" defaultSubtotal="1"/>
        </references>
      </pivotArea>
    </format>
    <format dxfId="455">
      <pivotArea dataOnly="0" fieldPosition="0">
        <references count="1">
          <reference field="8" count="0" defaultSubtotal="1"/>
        </references>
      </pivotArea>
    </format>
    <format dxfId="454">
      <pivotArea field="8" dataOnly="0" grandRow="1" axis="axisRow" fieldPosition="1">
        <references count="1">
          <reference field="8" count="0"/>
        </references>
      </pivotArea>
    </format>
    <format dxfId="453">
      <pivotArea dataOnly="0" labelOnly="1" outline="0" fieldPosition="0">
        <references count="1">
          <reference field="8" count="1">
            <x v="0"/>
          </reference>
        </references>
      </pivotArea>
    </format>
    <format dxfId="452">
      <pivotArea dataOnly="0" labelOnly="1" outline="0" fieldPosition="0">
        <references count="1">
          <reference field="8" count="1" defaultSubtotal="1">
            <x v="0"/>
          </reference>
        </references>
      </pivotArea>
    </format>
    <format dxfId="451">
      <pivotArea dataOnly="0" labelOnly="1" outline="0" fieldPosition="0">
        <references count="1">
          <reference field="8" count="1">
            <x v="1"/>
          </reference>
        </references>
      </pivotArea>
    </format>
    <format dxfId="450">
      <pivotArea dataOnly="0" labelOnly="1" outline="0" fieldPosition="0">
        <references count="1">
          <reference field="8" count="1" defaultSubtotal="1">
            <x v="1"/>
          </reference>
        </references>
      </pivotArea>
    </format>
    <format dxfId="449">
      <pivotArea dataOnly="0" labelOnly="1" grandRow="1" outline="0" fieldPosition="0"/>
    </format>
    <format dxfId="448">
      <pivotArea field="8" type="button" dataOnly="0" labelOnly="1" outline="0" axis="axisRow" fieldPosition="1"/>
    </format>
    <format dxfId="447">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6">
      <pivotArea field="18" type="button" dataOnly="0" labelOnly="1" outline="0" axis="axisRow" fieldPosition="0"/>
    </format>
    <format dxfId="445">
      <pivotArea dataOnly="0" labelOnly="1" fieldPosition="0">
        <references count="1">
          <reference field="8" count="0"/>
        </references>
      </pivotArea>
    </format>
    <format dxfId="444">
      <pivotArea dataOnly="0" labelOnly="1" fieldPosition="0">
        <references count="1">
          <reference field="8" count="0"/>
        </references>
      </pivotArea>
    </format>
    <format dxfId="443">
      <pivotArea dataOnly="0" fieldPosition="0">
        <references count="1">
          <reference field="1" count="0"/>
        </references>
      </pivotArea>
    </format>
    <format dxfId="442">
      <pivotArea dataOnly="0" fieldPosition="0">
        <references count="1">
          <reference field="1" count="0"/>
        </references>
      </pivotArea>
    </format>
    <format dxfId="441">
      <pivotArea outline="0" fieldPosition="0">
        <references count="2">
          <reference field="8" count="0" selected="0" defaultSubtotal="1"/>
          <reference field="18" count="1" selected="0">
            <x v="0"/>
          </reference>
        </references>
      </pivotArea>
    </format>
    <format dxfId="440">
      <pivotArea dataOnly="0" labelOnly="1" outline="0" fieldPosition="0">
        <references count="2">
          <reference field="8" count="0" defaultSubtotal="1"/>
          <reference field="18" count="1" selected="0">
            <x v="0"/>
          </reference>
        </references>
      </pivotArea>
    </format>
    <format dxfId="439">
      <pivotArea grandRow="1" outline="0" collapsedLevelsAreSubtotals="1" fieldPosition="0"/>
    </format>
    <format dxfId="438">
      <pivotArea dataOnly="0" labelOnly="1" grandRow="1" outline="0" fieldPosition="0"/>
    </format>
    <format dxfId="437">
      <pivotArea outline="0" fieldPosition="0">
        <references count="3">
          <reference field="1" count="0" selected="0" defaultSubtotal="1"/>
          <reference field="8" count="0" selected="0"/>
          <reference field="18" count="1" selected="0">
            <x v="0"/>
          </reference>
        </references>
      </pivotArea>
    </format>
    <format dxfId="436">
      <pivotArea dataOnly="0" labelOnly="1" outline="0" fieldPosition="0">
        <references count="3">
          <reference field="1" count="0" defaultSubtotal="1"/>
          <reference field="8" count="0" selected="0"/>
          <reference field="18" count="1" selected="0">
            <x v="0"/>
          </reference>
        </references>
      </pivotArea>
    </format>
    <format dxfId="435">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4">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dataOnly="0" outline="0" fieldPosition="0">
        <references count="1">
          <reference field="3" count="0" defaultSubtotal="1"/>
        </references>
      </pivotArea>
    </format>
    <format dxfId="432">
      <pivotArea dataOnly="0" outline="0" fieldPosition="0">
        <references count="1">
          <reference field="1" count="0" defaultSubtotal="1"/>
        </references>
      </pivotArea>
    </format>
    <format dxfId="431">
      <pivotArea dataOnly="0" outline="0" fieldPosition="0">
        <references count="1">
          <reference field="8" count="0" defaultSubtotal="1"/>
        </references>
      </pivotArea>
    </format>
    <format dxfId="430">
      <pivotArea dataOnly="0" grandRow="1" outline="0" fieldPosition="0"/>
    </format>
    <format dxfId="429">
      <pivotArea dataOnly="0" labelOnly="1" outline="0" fieldPosition="0">
        <references count="1">
          <reference field="8" count="0"/>
        </references>
      </pivotArea>
    </format>
    <format dxfId="428">
      <pivotArea dataOnly="0" labelOnly="1" outline="0" fieldPosition="0">
        <references count="1">
          <reference field="4294967294" count="1">
            <x v="2"/>
          </reference>
        </references>
      </pivotArea>
    </format>
    <format dxfId="427">
      <pivotArea outline="0" fieldPosition="0">
        <references count="1">
          <reference field="4294967294" count="1">
            <x v="2"/>
          </reference>
        </references>
      </pivotArea>
    </format>
    <format dxfId="426">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5">
      <pivotArea field="18" type="button" dataOnly="0" labelOnly="1" outline="0" axis="axisRow" fieldPosition="0"/>
    </format>
    <format dxfId="424">
      <pivotArea dataOnly="0" labelOnly="1" outline="0" fieldPosition="0">
        <references count="1">
          <reference field="0" count="0"/>
        </references>
      </pivotArea>
    </format>
    <format dxfId="423">
      <pivotArea dataOnly="0" outline="0" fieldPosition="0">
        <references count="1">
          <reference field="1" count="0" defaultSubtotal="1"/>
        </references>
      </pivotArea>
    </format>
    <format dxfId="422">
      <pivotArea dataOnly="0" outline="0" fieldPosition="0">
        <references count="1">
          <reference field="0" count="0" defaultSubtotal="1"/>
        </references>
      </pivotArea>
    </format>
    <format dxfId="421">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0">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dataOnly="0" labelOnly="1" outline="0" fieldPosition="0">
        <references count="1">
          <reference field="18" count="0"/>
        </references>
      </pivotArea>
    </format>
    <format dxfId="418">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7">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6">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5">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4">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3">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2">
      <pivotArea field="18" grandRow="1" outline="0" axis="axisRow" fieldPosition="0">
        <references count="1">
          <reference field="4294967294" count="4" selected="0">
            <x v="2"/>
            <x v="3"/>
            <x v="4"/>
            <x v="5"/>
          </reference>
        </references>
      </pivotArea>
    </format>
    <format dxfId="411">
      <pivotArea dataOnly="0" outline="0" fieldPosition="0">
        <references count="1">
          <reference field="4294967294" count="1">
            <x v="1"/>
          </reference>
        </references>
      </pivotArea>
    </format>
    <format dxfId="410">
      <pivotArea dataOnly="0" labelOnly="1" outline="0" fieldPosition="0">
        <references count="1">
          <reference field="4294967294" count="1">
            <x v="1"/>
          </reference>
        </references>
      </pivotArea>
    </format>
    <format dxfId="409">
      <pivotArea dataOnly="0" outline="0" fieldPosition="0">
        <references count="1">
          <reference field="4294967294" count="1">
            <x v="0"/>
          </reference>
        </references>
      </pivotArea>
    </format>
    <format dxfId="408">
      <pivotArea dataOnly="0" labelOnly="1" outline="0" fieldPosition="0">
        <references count="1">
          <reference field="4294967294" count="1">
            <x v="0"/>
          </reference>
        </references>
      </pivotArea>
    </format>
    <format dxfId="407">
      <pivotArea dataOnly="0" outline="0" fieldPosition="0">
        <references count="1">
          <reference field="4294967294" count="1">
            <x v="2"/>
          </reference>
        </references>
      </pivotArea>
    </format>
    <format dxfId="406">
      <pivotArea dataOnly="0" labelOnly="1" outline="0" fieldPosition="0">
        <references count="1">
          <reference field="4294967294" count="1">
            <x v="2"/>
          </reference>
        </references>
      </pivotArea>
    </format>
    <format dxfId="405">
      <pivotArea dataOnly="0" outline="0" fieldPosition="0">
        <references count="1">
          <reference field="4294967294" count="1">
            <x v="3"/>
          </reference>
        </references>
      </pivotArea>
    </format>
    <format dxfId="404">
      <pivotArea dataOnly="0" labelOnly="1" outline="0" fieldPosition="0">
        <references count="1">
          <reference field="4294967294" count="1">
            <x v="3"/>
          </reference>
        </references>
      </pivotArea>
    </format>
    <format dxfId="403">
      <pivotArea dataOnly="0" outline="0" fieldPosition="0">
        <references count="1">
          <reference field="4294967294" count="1">
            <x v="4"/>
          </reference>
        </references>
      </pivotArea>
    </format>
    <format dxfId="402">
      <pivotArea dataOnly="0" outline="0" fieldPosition="0">
        <references count="1">
          <reference field="4294967294" count="1">
            <x v="4"/>
          </reference>
        </references>
      </pivotArea>
    </format>
    <format dxfId="401">
      <pivotArea dataOnly="0" labelOnly="1" outline="0" fieldPosition="0">
        <references count="1">
          <reference field="4294967294" count="1">
            <x v="4"/>
          </reference>
        </references>
      </pivotArea>
    </format>
    <format dxfId="400">
      <pivotArea dataOnly="0" outline="0" fieldPosition="0">
        <references count="1">
          <reference field="4294967294" count="1">
            <x v="5"/>
          </reference>
        </references>
      </pivotArea>
    </format>
    <format dxfId="399">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34"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8">
      <pivotArea type="all" dataOnly="0" outline="0" fieldPosition="0"/>
    </format>
    <format dxfId="397">
      <pivotArea field="0" type="button" dataOnly="0" labelOnly="1" outline="0" axis="axisRow" fieldPosition="2"/>
    </format>
    <format dxfId="396">
      <pivotArea dataOnly="0" labelOnly="1" fieldPosition="0">
        <references count="1">
          <reference field="0" count="0"/>
        </references>
      </pivotArea>
    </format>
    <format dxfId="395">
      <pivotArea dataOnly="0" labelOnly="1" grandRow="1" outline="0" fieldPosition="0"/>
    </format>
    <format dxfId="394">
      <pivotArea dataOnly="0" labelOnly="1" outline="0" fieldPosition="0">
        <references count="1">
          <reference field="4294967294" count="3">
            <x v="2"/>
            <x v="6"/>
            <x v="11"/>
          </reference>
        </references>
      </pivotArea>
    </format>
    <format dxfId="393">
      <pivotArea field="0" type="button" dataOnly="0" labelOnly="1" outline="0" axis="axisRow" fieldPosition="2"/>
    </format>
    <format dxfId="392">
      <pivotArea dataOnly="0" labelOnly="1" outline="0" fieldPosition="0">
        <references count="1">
          <reference field="4294967294" count="3">
            <x v="2"/>
            <x v="6"/>
            <x v="11"/>
          </reference>
        </references>
      </pivotArea>
    </format>
    <format dxfId="391">
      <pivotArea field="0" type="button" dataOnly="0" labelOnly="1" outline="0" axis="axisRow" fieldPosition="2"/>
    </format>
    <format dxfId="390">
      <pivotArea dataOnly="0" labelOnly="1" outline="0" fieldPosition="0">
        <references count="1">
          <reference field="4294967294" count="3">
            <x v="2"/>
            <x v="6"/>
            <x v="11"/>
          </reference>
        </references>
      </pivotArea>
    </format>
    <format dxfId="389">
      <pivotArea field="0" type="button" dataOnly="0" labelOnly="1" outline="0" axis="axisRow" fieldPosition="2"/>
    </format>
    <format dxfId="388">
      <pivotArea dataOnly="0" labelOnly="1" outline="0" fieldPosition="0">
        <references count="1">
          <reference field="4294967294" count="3">
            <x v="2"/>
            <x v="6"/>
            <x v="11"/>
          </reference>
        </references>
      </pivotArea>
    </format>
    <format dxfId="387">
      <pivotArea grandRow="1" outline="0" collapsedLevelsAreSubtotals="1" fieldPosition="0"/>
    </format>
    <format dxfId="386">
      <pivotArea dataOnly="0" labelOnly="1" grandRow="1" outline="0" fieldPosition="0"/>
    </format>
    <format dxfId="385">
      <pivotArea grandRow="1" outline="0" collapsedLevelsAreSubtotals="1" fieldPosition="0"/>
    </format>
    <format dxfId="384">
      <pivotArea dataOnly="0" labelOnly="1" grandRow="1" outline="0" fieldPosition="0"/>
    </format>
    <format dxfId="383">
      <pivotArea field="0" grandRow="1" outline="0" axis="axisRow" fieldPosition="2">
        <references count="1">
          <reference field="4294967294" count="1" selected="0">
            <x v="6"/>
          </reference>
        </references>
      </pivotArea>
    </format>
    <format dxfId="382">
      <pivotArea field="0" grandRow="1" outline="0" axis="axisRow" fieldPosition="2">
        <references count="1">
          <reference field="4294967294" count="1" selected="0">
            <x v="11"/>
          </reference>
        </references>
      </pivotArea>
    </format>
    <format dxfId="381">
      <pivotArea field="0" grandRow="1" outline="0" axis="axisRow" fieldPosition="2">
        <references count="1">
          <reference field="4294967294" count="1" selected="0">
            <x v="2"/>
          </reference>
        </references>
      </pivotArea>
    </format>
    <format dxfId="380">
      <pivotArea dataOnly="0" fieldPosition="0">
        <references count="1">
          <reference field="0" count="0" defaultSubtotal="1"/>
        </references>
      </pivotArea>
    </format>
    <format dxfId="379">
      <pivotArea field="7" type="button" dataOnly="0" labelOnly="1" outline="0" axis="axisRow" fieldPosition="0"/>
    </format>
    <format dxfId="378">
      <pivotArea field="7" type="button" dataOnly="0" labelOnly="1" outline="0" axis="axisRow" fieldPosition="0"/>
    </format>
    <format dxfId="377">
      <pivotArea dataOnly="0" labelOnly="1" fieldPosition="0">
        <references count="1">
          <reference field="3" count="0"/>
        </references>
      </pivotArea>
    </format>
    <format dxfId="376">
      <pivotArea field="3" type="button" dataOnly="0" labelOnly="1" outline="0" axis="axisRow" fieldPosition="1"/>
    </format>
    <format dxfId="375">
      <pivotArea field="3" type="button" dataOnly="0" labelOnly="1" outline="0" axis="axisRow" fieldPosition="1"/>
    </format>
    <format dxfId="374">
      <pivotArea field="3" type="button" dataOnly="0" labelOnly="1" outline="0" axis="axisRow" fieldPosition="1"/>
    </format>
    <format dxfId="373">
      <pivotArea field="7" type="button" dataOnly="0" labelOnly="1" outline="0" axis="axisRow" fieldPosition="0"/>
    </format>
    <format dxfId="372">
      <pivotArea type="all" dataOnly="0" outline="0" fieldPosition="0"/>
    </format>
    <format dxfId="371">
      <pivotArea field="2" type="button" dataOnly="0" labelOnly="1" outline="0" axis="axisRow" fieldPosition="3"/>
    </format>
    <format dxfId="370">
      <pivotArea dataOnly="0" labelOnly="1" outline="0" fieldPosition="0">
        <references count="1">
          <reference field="4294967294" count="3">
            <x v="2"/>
            <x v="6"/>
            <x v="11"/>
          </reference>
        </references>
      </pivotArea>
    </format>
    <format dxfId="369">
      <pivotArea field="2" type="button" dataOnly="0" labelOnly="1" outline="0" axis="axisRow" fieldPosition="3"/>
    </format>
    <format dxfId="368">
      <pivotArea field="5" type="button" dataOnly="0" labelOnly="1" outline="0" axis="axisRow" fieldPosition="6"/>
    </format>
    <format dxfId="367">
      <pivotArea dataOnly="0" labelOnly="1" fieldPosition="0">
        <references count="1">
          <reference field="5" count="0"/>
        </references>
      </pivotArea>
    </format>
    <format dxfId="366">
      <pivotArea dataOnly="0" labelOnly="1" fieldPosition="0">
        <references count="1">
          <reference field="5" count="0"/>
        </references>
      </pivotArea>
    </format>
    <format dxfId="365">
      <pivotArea field="4" type="button" dataOnly="0" labelOnly="1" outline="0" axis="axisRow" fieldPosition="7"/>
    </format>
    <format dxfId="364">
      <pivotArea field="4" type="button" dataOnly="0" labelOnly="1" outline="0" axis="axisRow" fieldPosition="7"/>
    </format>
    <format dxfId="363">
      <pivotArea field="4" type="button" dataOnly="0" labelOnly="1" outline="0" axis="axisRow" fieldPosition="7"/>
    </format>
    <format dxfId="362">
      <pivotArea field="22" type="button" dataOnly="0" labelOnly="1" outline="0" axis="axisRow" fieldPosition="4"/>
    </format>
    <format dxfId="361">
      <pivotArea field="22" type="button" dataOnly="0" labelOnly="1" outline="0" axis="axisRow" fieldPosition="4"/>
    </format>
    <format dxfId="360">
      <pivotArea field="22" type="button" dataOnly="0" labelOnly="1" outline="0" axis="axisRow" fieldPosition="4"/>
    </format>
    <format dxfId="359">
      <pivotArea dataOnly="0" labelOnly="1" fieldPosition="0">
        <references count="1">
          <reference field="4" count="0"/>
        </references>
      </pivotArea>
    </format>
    <format dxfId="358">
      <pivotArea outline="0" fieldPosition="0">
        <references count="1">
          <reference field="4294967294" count="1">
            <x v="5"/>
          </reference>
        </references>
      </pivotArea>
    </format>
    <format dxfId="357">
      <pivotArea outline="0" fieldPosition="0">
        <references count="1">
          <reference field="4294967294" count="1">
            <x v="7"/>
          </reference>
        </references>
      </pivotArea>
    </format>
    <format dxfId="356">
      <pivotArea outline="0" fieldPosition="0">
        <references count="1">
          <reference field="4294967294" count="1">
            <x v="0"/>
          </reference>
        </references>
      </pivotArea>
    </format>
    <format dxfId="355">
      <pivotArea field="23" type="button" dataOnly="0" labelOnly="1" outline="0" axis="axisRow" fieldPosition="5"/>
    </format>
    <format dxfId="354">
      <pivotArea dataOnly="0" labelOnly="1" outline="0" fieldPosition="0">
        <references count="1">
          <reference field="4294967294" count="2">
            <x v="0"/>
            <x v="5"/>
          </reference>
        </references>
      </pivotArea>
    </format>
    <format dxfId="353">
      <pivotArea dataOnly="0" fieldPosition="0">
        <references count="1">
          <reference field="2" count="0" defaultSubtotal="1"/>
        </references>
      </pivotArea>
    </format>
    <format dxfId="352">
      <pivotArea dataOnly="0" labelOnly="1" outline="0" fieldPosition="0">
        <references count="1">
          <reference field="4294967294" count="1">
            <x v="7"/>
          </reference>
        </references>
      </pivotArea>
    </format>
    <format dxfId="351">
      <pivotArea dataOnly="0" outline="0" fieldPosition="0">
        <references count="1">
          <reference field="4294967294" count="1">
            <x v="7"/>
          </reference>
        </references>
      </pivotArea>
    </format>
    <format dxfId="350">
      <pivotArea dataOnly="0" outline="0" fieldPosition="0">
        <references count="1">
          <reference field="4294967294" count="1">
            <x v="6"/>
          </reference>
        </references>
      </pivotArea>
    </format>
    <format dxfId="349">
      <pivotArea dataOnly="0" outline="0" fieldPosition="0">
        <references count="1">
          <reference field="4294967294" count="1">
            <x v="0"/>
          </reference>
        </references>
      </pivotArea>
    </format>
    <format dxfId="348">
      <pivotArea dataOnly="0" labelOnly="1" fieldPosition="0">
        <references count="1">
          <reference field="23" count="0"/>
        </references>
      </pivotArea>
    </format>
    <format dxfId="347">
      <pivotArea dataOnly="0" labelOnly="1" fieldPosition="0">
        <references count="1">
          <reference field="22" count="0"/>
        </references>
      </pivotArea>
    </format>
    <format dxfId="346">
      <pivotArea dataOnly="0" labelOnly="1" fieldPosition="0">
        <references count="1">
          <reference field="22" count="0"/>
        </references>
      </pivotArea>
    </format>
    <format dxfId="345">
      <pivotArea dataOnly="0" outline="0" fieldPosition="0">
        <references count="1">
          <reference field="4294967294" count="1">
            <x v="11"/>
          </reference>
        </references>
      </pivotArea>
    </format>
    <format dxfId="344">
      <pivotArea outline="0" fieldPosition="0">
        <references count="1">
          <reference field="4294967294" count="1">
            <x v="1"/>
          </reference>
        </references>
      </pivotArea>
    </format>
    <format dxfId="343">
      <pivotArea dataOnly="0" labelOnly="1" outline="0" fieldPosition="0">
        <references count="1">
          <reference field="4294967294" count="1">
            <x v="1"/>
          </reference>
        </references>
      </pivotArea>
    </format>
    <format dxfId="342">
      <pivotArea dataOnly="0" outline="0" fieldPosition="0">
        <references count="1">
          <reference field="4294967294" count="1">
            <x v="2"/>
          </reference>
        </references>
      </pivotArea>
    </format>
    <format dxfId="341">
      <pivotArea dataOnly="0" labelOnly="1" outline="0" fieldPosition="0">
        <references count="1">
          <reference field="4294967294" count="1">
            <x v="3"/>
          </reference>
        </references>
      </pivotArea>
    </format>
    <format dxfId="340">
      <pivotArea dataOnly="0" labelOnly="1" outline="0" fieldPosition="0">
        <references count="1">
          <reference field="4294967294" count="1">
            <x v="3"/>
          </reference>
        </references>
      </pivotArea>
    </format>
    <format dxfId="339">
      <pivotArea dataOnly="0" outline="0" fieldPosition="0">
        <references count="1">
          <reference field="4294967294" count="1">
            <x v="3"/>
          </reference>
        </references>
      </pivotArea>
    </format>
    <format dxfId="338">
      <pivotArea outline="0" fieldPosition="0">
        <references count="1">
          <reference field="4294967294" count="1">
            <x v="13"/>
          </reference>
        </references>
      </pivotArea>
    </format>
    <format dxfId="337">
      <pivotArea dataOnly="0" labelOnly="1" outline="0" fieldPosition="0">
        <references count="1">
          <reference field="4294967294" count="1">
            <x v="13"/>
          </reference>
        </references>
      </pivotArea>
    </format>
    <format dxfId="336">
      <pivotArea type="all" dataOnly="0" outline="0" fieldPosition="0"/>
    </format>
    <format dxfId="335">
      <pivotArea dataOnly="0" fieldPosition="0">
        <references count="1">
          <reference field="0" count="0" defaultSubtotal="1"/>
        </references>
      </pivotArea>
    </format>
    <format dxfId="334">
      <pivotArea dataOnly="0" fieldPosition="0">
        <references count="1">
          <reference field="3" count="0" defaultSubtotal="1"/>
        </references>
      </pivotArea>
    </format>
    <format dxfId="333">
      <pivotArea dataOnly="0" fieldPosition="0">
        <references count="1">
          <reference field="7"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type="all" dataOnly="0" outline="0" fieldPosition="0"/>
    </format>
    <format dxfId="329">
      <pivotArea outline="0" collapsedLevelsAreSubtotals="1" fieldPosition="0"/>
    </format>
    <format dxfId="328">
      <pivotArea field="7" type="button" dataOnly="0" labelOnly="1" outline="0" axis="axisRow" fieldPosition="0"/>
    </format>
    <format dxfId="327">
      <pivotArea field="3" type="button" dataOnly="0" labelOnly="1" outline="0" axis="axisRow" fieldPosition="1"/>
    </format>
    <format dxfId="326">
      <pivotArea field="0" type="button" dataOnly="0" labelOnly="1" outline="0" axis="axisRow" fieldPosition="2"/>
    </format>
    <format dxfId="325">
      <pivotArea field="2" type="button" dataOnly="0" labelOnly="1" outline="0" axis="axisRow" fieldPosition="3"/>
    </format>
    <format dxfId="324">
      <pivotArea field="5" type="button" dataOnly="0" labelOnly="1" outline="0" axis="axisRow" fieldPosition="6"/>
    </format>
    <format dxfId="323">
      <pivotArea field="4" type="button" dataOnly="0" labelOnly="1" outline="0" axis="axisRow" fieldPosition="7"/>
    </format>
    <format dxfId="322">
      <pivotArea field="22" type="button" dataOnly="0" labelOnly="1" outline="0" axis="axisRow" fieldPosition="4"/>
    </format>
    <format dxfId="321">
      <pivotArea field="23" type="button" dataOnly="0" labelOnly="1" outline="0" axis="axisRow" fieldPosition="5"/>
    </format>
    <format dxfId="320">
      <pivotArea dataOnly="0" labelOnly="1" outline="0" fieldPosition="0">
        <references count="1">
          <reference field="7" count="0"/>
        </references>
      </pivotArea>
    </format>
    <format dxfId="319">
      <pivotArea dataOnly="0" labelOnly="1" outline="0" fieldPosition="0">
        <references count="1">
          <reference field="7" count="0" defaultSubtotal="1"/>
        </references>
      </pivotArea>
    </format>
    <format dxfId="318">
      <pivotArea dataOnly="0" labelOnly="1" grandRow="1" outline="0" fieldPosition="0"/>
    </format>
    <format dxfId="317">
      <pivotArea dataOnly="0" labelOnly="1" outline="0" fieldPosition="0">
        <references count="1">
          <reference field="4294967294" count="9">
            <x v="0"/>
            <x v="1"/>
            <x v="2"/>
            <x v="3"/>
            <x v="5"/>
            <x v="6"/>
            <x v="7"/>
            <x v="11"/>
            <x v="13"/>
          </reference>
        </references>
      </pivotArea>
    </format>
    <format dxfId="316">
      <pivotArea field="7" type="button" dataOnly="0" labelOnly="1" outline="0" axis="axisRow" fieldPosition="0"/>
    </format>
    <format dxfId="315">
      <pivotArea field="3" type="button" dataOnly="0" labelOnly="1" outline="0" axis="axisRow" fieldPosition="1"/>
    </format>
    <format dxfId="314">
      <pivotArea field="0" type="button" dataOnly="0" labelOnly="1" outline="0" axis="axisRow" fieldPosition="2"/>
    </format>
    <format dxfId="313">
      <pivotArea field="2" type="button" dataOnly="0" labelOnly="1" outline="0" axis="axisRow" fieldPosition="3"/>
    </format>
    <format dxfId="312">
      <pivotArea field="5" type="button" dataOnly="0" labelOnly="1" outline="0" axis="axisRow" fieldPosition="6"/>
    </format>
    <format dxfId="311">
      <pivotArea field="4" type="button" dataOnly="0" labelOnly="1" outline="0" axis="axisRow" fieldPosition="7"/>
    </format>
    <format dxfId="310">
      <pivotArea field="22" type="button" dataOnly="0" labelOnly="1" outline="0" axis="axisRow" fieldPosition="4"/>
    </format>
    <format dxfId="309">
      <pivotArea field="23" type="button" dataOnly="0" labelOnly="1" outline="0" axis="axisRow" fieldPosition="5"/>
    </format>
    <format dxfId="308">
      <pivotArea dataOnly="0" labelOnly="1" outline="0" fieldPosition="0">
        <references count="1">
          <reference field="4294967294" count="9">
            <x v="0"/>
            <x v="1"/>
            <x v="2"/>
            <x v="3"/>
            <x v="5"/>
            <x v="6"/>
            <x v="7"/>
            <x v="11"/>
            <x v="13"/>
          </reference>
        </references>
      </pivotArea>
    </format>
    <format dxfId="307">
      <pivotArea field="7" type="button" dataOnly="0" labelOnly="1" outline="0" axis="axisRow" fieldPosition="0"/>
    </format>
    <format dxfId="306">
      <pivotArea field="3" type="button" dataOnly="0" labelOnly="1" outline="0" axis="axisRow" fieldPosition="1"/>
    </format>
    <format dxfId="305">
      <pivotArea field="0" type="button" dataOnly="0" labelOnly="1" outline="0" axis="axisRow" fieldPosition="2"/>
    </format>
    <format dxfId="304">
      <pivotArea field="2" type="button" dataOnly="0" labelOnly="1" outline="0" axis="axisRow" fieldPosition="3"/>
    </format>
    <format dxfId="303">
      <pivotArea field="5" type="button" dataOnly="0" labelOnly="1" outline="0" axis="axisRow" fieldPosition="6"/>
    </format>
    <format dxfId="302">
      <pivotArea field="4" type="button" dataOnly="0" labelOnly="1" outline="0" axis="axisRow" fieldPosition="7"/>
    </format>
    <format dxfId="301">
      <pivotArea field="22" type="button" dataOnly="0" labelOnly="1" outline="0" axis="axisRow" fieldPosition="4"/>
    </format>
    <format dxfId="300">
      <pivotArea field="23" type="button" dataOnly="0" labelOnly="1" outline="0" axis="axisRow" fieldPosition="5"/>
    </format>
    <format dxfId="299">
      <pivotArea dataOnly="0" labelOnly="1" outline="0" fieldPosition="0">
        <references count="1">
          <reference field="4294967294" count="9">
            <x v="0"/>
            <x v="1"/>
            <x v="2"/>
            <x v="3"/>
            <x v="5"/>
            <x v="6"/>
            <x v="7"/>
            <x v="11"/>
            <x v="13"/>
          </reference>
        </references>
      </pivotArea>
    </format>
    <format dxfId="298">
      <pivotArea dataOnly="0" fieldPosition="0">
        <references count="1">
          <reference field="2" count="0" defaultSubtotal="1"/>
        </references>
      </pivotArea>
    </format>
    <format dxfId="297">
      <pivotArea dataOnly="0" fieldPosition="0">
        <references count="1">
          <reference field="2" count="0" defaultSubtotal="1"/>
        </references>
      </pivotArea>
    </format>
    <format dxfId="296">
      <pivotArea dataOnly="0" fieldPosition="0">
        <references count="1">
          <reference field="0" count="0" defaultSubtotal="1"/>
        </references>
      </pivotArea>
    </format>
    <format dxfId="295">
      <pivotArea dataOnly="0" fieldPosition="0">
        <references count="1">
          <reference field="0" count="0" defaultSubtotal="1"/>
        </references>
      </pivotArea>
    </format>
    <format dxfId="294">
      <pivotArea dataOnly="0" fieldPosition="0">
        <references count="1">
          <reference field="3" count="0" defaultSubtotal="1"/>
        </references>
      </pivotArea>
    </format>
    <format dxfId="293">
      <pivotArea dataOnly="0" fieldPosition="0">
        <references count="1">
          <reference field="3" count="0" defaultSubtotal="1"/>
        </references>
      </pivotArea>
    </format>
    <format dxfId="292">
      <pivotArea dataOnly="0" fieldPosition="0">
        <references count="1">
          <reference field="7" count="0" defaultSubtotal="1"/>
        </references>
      </pivotArea>
    </format>
    <format dxfId="291">
      <pivotArea dataOnly="0" grandRow="1" fieldPosition="0"/>
    </format>
    <format dxfId="290">
      <pivotArea field="7" type="button" dataOnly="0" labelOnly="1" outline="0" axis="axisRow" fieldPosition="0"/>
    </format>
    <format dxfId="289">
      <pivotArea field="3" type="button" dataOnly="0" labelOnly="1" outline="0" axis="axisRow" fieldPosition="1"/>
    </format>
    <format dxfId="288">
      <pivotArea field="0" type="button" dataOnly="0" labelOnly="1" outline="0" axis="axisRow" fieldPosition="2"/>
    </format>
    <format dxfId="287">
      <pivotArea field="2" type="button" dataOnly="0" labelOnly="1" outline="0" axis="axisRow" fieldPosition="3"/>
    </format>
    <format dxfId="286">
      <pivotArea field="5" type="button" dataOnly="0" labelOnly="1" outline="0" axis="axisRow" fieldPosition="6"/>
    </format>
    <format dxfId="285">
      <pivotArea field="4" type="button" dataOnly="0" labelOnly="1" outline="0" axis="axisRow" fieldPosition="7"/>
    </format>
    <format dxfId="284">
      <pivotArea field="22" type="button" dataOnly="0" labelOnly="1" outline="0" axis="axisRow" fieldPosition="4"/>
    </format>
    <format dxfId="283">
      <pivotArea field="23" type="button" dataOnly="0" labelOnly="1" outline="0" axis="axisRow" fieldPosition="5"/>
    </format>
    <format dxfId="282">
      <pivotArea dataOnly="0" labelOnly="1" outline="0" fieldPosition="0">
        <references count="1">
          <reference field="4294967294" count="9">
            <x v="0"/>
            <x v="1"/>
            <x v="2"/>
            <x v="3"/>
            <x v="5"/>
            <x v="6"/>
            <x v="7"/>
            <x v="11"/>
            <x v="13"/>
          </reference>
        </references>
      </pivotArea>
    </format>
    <format dxfId="281">
      <pivotArea dataOnly="0" labelOnly="1" outline="0" fieldPosition="0">
        <references count="1">
          <reference field="7" count="0"/>
        </references>
      </pivotArea>
    </format>
    <format dxfId="280">
      <pivotArea outline="0" fieldPosition="0">
        <references count="1">
          <reference field="4294967294" count="1">
            <x v="8"/>
          </reference>
        </references>
      </pivotArea>
    </format>
    <format dxfId="279">
      <pivotArea dataOnly="0" labelOnly="1" outline="0" fieldPosition="0">
        <references count="1">
          <reference field="4294967294" count="5">
            <x v="8"/>
            <x v="9"/>
            <x v="10"/>
            <x v="11"/>
            <x v="12"/>
          </reference>
        </references>
      </pivotArea>
    </format>
    <format dxfId="278">
      <pivotArea outline="0" fieldPosition="0">
        <references count="1">
          <reference field="4294967294" count="1">
            <x v="9"/>
          </reference>
        </references>
      </pivotArea>
    </format>
    <format dxfId="277">
      <pivotArea dataOnly="0" outline="0" fieldPosition="0">
        <references count="1">
          <reference field="4294967294" count="1">
            <x v="9"/>
          </reference>
        </references>
      </pivotArea>
    </format>
    <format dxfId="276">
      <pivotArea outline="0" fieldPosition="0">
        <references count="1">
          <reference field="4294967294" count="1">
            <x v="10"/>
          </reference>
        </references>
      </pivotArea>
    </format>
    <format dxfId="275">
      <pivotArea dataOnly="0" outline="0" fieldPosition="0">
        <references count="1">
          <reference field="4294967294" count="1">
            <x v="10"/>
          </reference>
        </references>
      </pivotArea>
    </format>
    <format dxfId="274">
      <pivotArea field="7" grandRow="1" outline="0" axis="axisRow" fieldPosition="0">
        <references count="1">
          <reference field="4294967294" count="2" selected="0">
            <x v="9"/>
            <x v="10"/>
          </reference>
        </references>
      </pivotArea>
    </format>
    <format dxfId="273">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2">
      <pivotArea fieldPosition="0">
        <references count="4">
          <reference field="4294967294" count="3" selected="0">
            <x v="9"/>
            <x v="10"/>
            <x v="11"/>
          </reference>
          <reference field="0" count="0" defaultSubtotal="1"/>
          <reference field="3" count="0" selected="0"/>
          <reference field="7" count="0" selected="0"/>
        </references>
      </pivotArea>
    </format>
    <format dxfId="271">
      <pivotArea fieldPosition="0">
        <references count="3">
          <reference field="4294967294" count="3" selected="0">
            <x v="9"/>
            <x v="10"/>
            <x v="11"/>
          </reference>
          <reference field="3" count="0" defaultSubtotal="1"/>
          <reference field="7" count="0" selected="0"/>
        </references>
      </pivotArea>
    </format>
    <format dxfId="270">
      <pivotArea field="7" grandRow="1" outline="0" axis="axisRow" fieldPosition="0">
        <references count="1">
          <reference field="4294967294" count="1" selected="0">
            <x v="11"/>
          </reference>
        </references>
      </pivotArea>
    </format>
    <format dxfId="269">
      <pivotArea fieldPosition="0">
        <references count="2">
          <reference field="4294967294" count="3" selected="0">
            <x v="9"/>
            <x v="10"/>
            <x v="11"/>
          </reference>
          <reference field="7" count="0" defaultSubtotal="1"/>
        </references>
      </pivotArea>
    </format>
    <format dxfId="268">
      <pivotArea field="7" grandRow="1" outline="0" axis="axisRow" fieldPosition="0">
        <references count="1">
          <reference field="4294967294" count="1" selected="0">
            <x v="2"/>
          </reference>
        </references>
      </pivotArea>
    </format>
    <format dxfId="267">
      <pivotArea fieldPosition="0">
        <references count="2">
          <reference field="4294967294" count="1" selected="0">
            <x v="9"/>
          </reference>
          <reference field="7" count="0" defaultSubtotal="1"/>
        </references>
      </pivotArea>
    </format>
    <format dxfId="266">
      <pivotArea fieldPosition="0">
        <references count="2">
          <reference field="4294967294" count="1" selected="0">
            <x v="10"/>
          </reference>
          <reference field="7" count="0" defaultSubtotal="1"/>
        </references>
      </pivotArea>
    </format>
    <format dxfId="265">
      <pivotArea fieldPosition="0">
        <references count="2">
          <reference field="4294967294" count="1" selected="0">
            <x v="11"/>
          </reference>
          <reference field="7" count="0" defaultSubtotal="1"/>
        </references>
      </pivotArea>
    </format>
    <format dxfId="264">
      <pivotArea outline="0" fieldPosition="0">
        <references count="1">
          <reference field="4294967294" count="1">
            <x v="3"/>
          </reference>
        </references>
      </pivotArea>
    </format>
    <format dxfId="263">
      <pivotArea outline="0" fieldPosition="0">
        <references count="1">
          <reference field="4294967294" count="1">
            <x v="4"/>
          </reference>
        </references>
      </pivotArea>
    </format>
    <format dxfId="262">
      <pivotArea dataOnly="0" labelOnly="1" outline="0" fieldPosition="0">
        <references count="1">
          <reference field="4294967294" count="1">
            <x v="4"/>
          </reference>
        </references>
      </pivotArea>
    </format>
    <format dxfId="261">
      <pivotArea field="7" grandRow="1" outline="0" axis="axisRow" fieldPosition="0">
        <references count="1">
          <reference field="4294967294" count="1" selected="0">
            <x v="7"/>
          </reference>
        </references>
      </pivotArea>
    </format>
    <format dxfId="260">
      <pivotArea field="7" grandRow="1" outline="0" axis="axisRow" fieldPosition="0">
        <references count="1">
          <reference field="4294967294" count="1" selected="0">
            <x v="6"/>
          </reference>
        </references>
      </pivotArea>
    </format>
    <format dxfId="259">
      <pivotArea fieldPosition="0">
        <references count="2">
          <reference field="4294967294" count="2" selected="0">
            <x v="6"/>
            <x v="7"/>
          </reference>
          <reference field="7" count="0" defaultSubtotal="1"/>
        </references>
      </pivotArea>
    </format>
    <format dxfId="258">
      <pivotArea fieldPosition="0">
        <references count="3">
          <reference field="4294967294" count="2" selected="0">
            <x v="6"/>
            <x v="7"/>
          </reference>
          <reference field="3" count="0" defaultSubtotal="1"/>
          <reference field="7" count="0" selected="0"/>
        </references>
      </pivotArea>
    </format>
    <format dxfId="257">
      <pivotArea fieldPosition="0">
        <references count="4">
          <reference field="4294967294" count="2" selected="0">
            <x v="6"/>
            <x v="7"/>
          </reference>
          <reference field="0" count="0" defaultSubtotal="1"/>
          <reference field="3" count="0" selected="0"/>
          <reference field="7" count="0" selected="0"/>
        </references>
      </pivotArea>
    </format>
    <format dxfId="256">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5">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3">
      <pivotArea outline="0" fieldPosition="0">
        <references count="1">
          <reference field="4294967294" count="1">
            <x v="12"/>
          </reference>
        </references>
      </pivotArea>
    </format>
    <format dxfId="252">
      <pivotArea fieldPosition="0">
        <references count="4">
          <reference field="4294967294" count="1" selected="0">
            <x v="2"/>
          </reference>
          <reference field="0" count="0" defaultSubtotal="1"/>
          <reference field="3" count="0" selected="0"/>
          <reference field="7" count="0" selected="0"/>
        </references>
      </pivotArea>
    </format>
    <format dxfId="251">
      <pivotArea fieldPosition="0">
        <references count="4">
          <reference field="4294967294" count="1" selected="0">
            <x v="3"/>
          </reference>
          <reference field="0" count="0" defaultSubtotal="1"/>
          <reference field="3" count="0" selected="0"/>
          <reference field="7" count="0" selected="0"/>
        </references>
      </pivotArea>
    </format>
    <format dxfId="250">
      <pivotArea fieldPosition="0">
        <references count="3">
          <reference field="4294967294" count="1" selected="0">
            <x v="3"/>
          </reference>
          <reference field="3" count="0" defaultSubtotal="1"/>
          <reference field="7" count="0" selected="0"/>
        </references>
      </pivotArea>
    </format>
    <format dxfId="249">
      <pivotArea fieldPosition="0">
        <references count="3">
          <reference field="4294967294" count="1" selected="0">
            <x v="2"/>
          </reference>
          <reference field="3" count="0" defaultSubtotal="1"/>
          <reference field="7" count="0" selected="0"/>
        </references>
      </pivotArea>
    </format>
    <format dxfId="248">
      <pivotArea fieldPosition="0">
        <references count="2">
          <reference field="4294967294" count="1" selected="0">
            <x v="2"/>
          </reference>
          <reference field="7" count="0" defaultSubtotal="1"/>
        </references>
      </pivotArea>
    </format>
    <format dxfId="247">
      <pivotArea fieldPosition="0">
        <references count="2">
          <reference field="4294967294" count="1" selected="0">
            <x v="3"/>
          </reference>
          <reference field="7" count="0" defaultSubtotal="1"/>
        </references>
      </pivotArea>
    </format>
    <format dxfId="246">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24"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5">
      <pivotArea dataOnly="0" labelOnly="1" fieldPosition="0">
        <references count="1">
          <reference field="5" count="0"/>
        </references>
      </pivotArea>
    </format>
    <format dxfId="244">
      <pivotArea dataOnly="0" labelOnly="1" fieldPosition="0">
        <references count="1">
          <reference field="5" count="0"/>
        </references>
      </pivotArea>
    </format>
    <format dxfId="243">
      <pivotArea dataOnly="0" labelOnly="1" fieldPosition="0">
        <references count="1">
          <reference field="21" count="0"/>
        </references>
      </pivotArea>
    </format>
    <format dxfId="242">
      <pivotArea dataOnly="0" labelOnly="1" fieldPosition="0">
        <references count="1">
          <reference field="21" count="0"/>
        </references>
      </pivotArea>
    </format>
    <format dxfId="241">
      <pivotArea dataOnly="0" labelOnly="1" fieldPosition="0">
        <references count="1">
          <reference field="20" count="0"/>
        </references>
      </pivotArea>
    </format>
    <format dxfId="240">
      <pivotArea dataOnly="0" labelOnly="1" fieldPosition="0">
        <references count="1">
          <reference field="19" count="0"/>
        </references>
      </pivotArea>
    </format>
    <format dxfId="239">
      <pivotArea dataOnly="0" labelOnly="1" fieldPosition="0">
        <references count="1">
          <reference field="6" count="0"/>
        </references>
      </pivotArea>
    </format>
    <format dxfId="238">
      <pivotArea dataOnly="0" labelOnly="1" fieldPosition="0">
        <references count="1">
          <reference field="6" count="0"/>
        </references>
      </pivotArea>
    </format>
    <format dxfId="237">
      <pivotArea dataOnly="0" labelOnly="1" fieldPosition="0">
        <references count="1">
          <reference field="19" count="0"/>
        </references>
      </pivotArea>
    </format>
    <format dxfId="236">
      <pivotArea outline="0" fieldPosition="0">
        <references count="1">
          <reference field="4294967294" count="1">
            <x v="0"/>
          </reference>
        </references>
      </pivotArea>
    </format>
    <format dxfId="235">
      <pivotArea dataOnly="0" labelOnly="1" fieldPosition="0">
        <references count="1">
          <reference field="8" count="0"/>
        </references>
      </pivotArea>
    </format>
    <format dxfId="234">
      <pivotArea dataOnly="0" labelOnly="1" fieldPosition="0">
        <references count="1">
          <reference field="8" count="0"/>
        </references>
      </pivotArea>
    </format>
    <format dxfId="233">
      <pivotArea type="all" dataOnly="0" outline="0" fieldPosition="0"/>
    </format>
    <format dxfId="232">
      <pivotArea field="8" type="button" dataOnly="0" labelOnly="1" outline="0" axis="axisRow" fieldPosition="1"/>
    </format>
    <format dxfId="231">
      <pivotArea field="0" type="button" dataOnly="0" labelOnly="1" outline="0" axis="axisRow" fieldPosition="3"/>
    </format>
    <format dxfId="230">
      <pivotArea field="1" type="button" dataOnly="0" labelOnly="1" outline="0" axis="axisRow" fieldPosition="2"/>
    </format>
    <format dxfId="229">
      <pivotArea field="3" type="button" dataOnly="0" labelOnly="1" outline="0" axis="axisRow" fieldPosition="4"/>
    </format>
    <format dxfId="228">
      <pivotArea field="6" type="button" dataOnly="0" labelOnly="1" outline="0" axis="axisRow" fieldPosition="5"/>
    </format>
    <format dxfId="227">
      <pivotArea field="2" type="button" dataOnly="0" labelOnly="1" outline="0" axis="axisRow" fieldPosition="6"/>
    </format>
    <format dxfId="226">
      <pivotArea field="5" type="button" dataOnly="0" labelOnly="1" outline="0" axis="axisRow" fieldPosition="7"/>
    </format>
    <format dxfId="225">
      <pivotArea field="21" type="button" dataOnly="0" labelOnly="1" outline="0" axis="axisRow" fieldPosition="8"/>
    </format>
    <format dxfId="224">
      <pivotArea field="20" type="button" dataOnly="0" labelOnly="1" outline="0" axis="axisRow" fieldPosition="9"/>
    </format>
    <format dxfId="223">
      <pivotArea field="19" type="button" dataOnly="0" labelOnly="1" outline="0" axis="axisRow" fieldPosition="10"/>
    </format>
    <format dxfId="222">
      <pivotArea dataOnly="0" labelOnly="1" outline="0" fieldPosition="0">
        <references count="1">
          <reference field="4294967294" count="13">
            <x v="0"/>
            <x v="1"/>
            <x v="2"/>
            <x v="3"/>
            <x v="4"/>
            <x v="5"/>
            <x v="6"/>
            <x v="7"/>
            <x v="8"/>
            <x v="9"/>
            <x v="10"/>
            <x v="11"/>
            <x v="12"/>
          </reference>
        </references>
      </pivotArea>
    </format>
    <format dxfId="221">
      <pivotArea field="8" type="button" dataOnly="0" labelOnly="1" outline="0" axis="axisRow" fieldPosition="1"/>
    </format>
    <format dxfId="220">
      <pivotArea field="8" type="button" dataOnly="0" labelOnly="1" outline="0" axis="axisRow" fieldPosition="1"/>
    </format>
    <format dxfId="219">
      <pivotArea field="8" type="button" dataOnly="0" labelOnly="1" outline="0" axis="axisRow" fieldPosition="1"/>
    </format>
    <format dxfId="218">
      <pivotArea field="0" type="button" dataOnly="0" labelOnly="1" outline="0" axis="axisRow" fieldPosition="3"/>
    </format>
    <format dxfId="217">
      <pivotArea field="0" type="button" dataOnly="0" labelOnly="1" outline="0" axis="axisRow" fieldPosition="3"/>
    </format>
    <format dxfId="216">
      <pivotArea field="0" type="button" dataOnly="0" labelOnly="1" outline="0" axis="axisRow" fieldPosition="3"/>
    </format>
    <format dxfId="215">
      <pivotArea field="1" type="button" dataOnly="0" labelOnly="1" outline="0" axis="axisRow" fieldPosition="2"/>
    </format>
    <format dxfId="214">
      <pivotArea field="3" type="button" dataOnly="0" labelOnly="1" outline="0" axis="axisRow" fieldPosition="4"/>
    </format>
    <format dxfId="213">
      <pivotArea field="3" type="button" dataOnly="0" labelOnly="1" outline="0" axis="axisRow" fieldPosition="4"/>
    </format>
    <format dxfId="212">
      <pivotArea field="3" type="button" dataOnly="0" labelOnly="1" outline="0" axis="axisRow" fieldPosition="4"/>
    </format>
    <format dxfId="211">
      <pivotArea field="6" type="button" dataOnly="0" labelOnly="1" outline="0" axis="axisRow" fieldPosition="5"/>
    </format>
    <format dxfId="210">
      <pivotArea field="6" type="button" dataOnly="0" labelOnly="1" outline="0" axis="axisRow" fieldPosition="5"/>
    </format>
    <format dxfId="209">
      <pivotArea field="6" type="button" dataOnly="0" labelOnly="1" outline="0" axis="axisRow" fieldPosition="5"/>
    </format>
    <format dxfId="208">
      <pivotArea field="2" type="button" dataOnly="0" labelOnly="1" outline="0" axis="axisRow" fieldPosition="6"/>
    </format>
    <format dxfId="207">
      <pivotArea field="5" type="button" dataOnly="0" labelOnly="1" outline="0" axis="axisRow" fieldPosition="7"/>
    </format>
    <format dxfId="206">
      <pivotArea field="5" type="button" dataOnly="0" labelOnly="1" outline="0" axis="axisRow" fieldPosition="7"/>
    </format>
    <format dxfId="205">
      <pivotArea field="5" type="button" dataOnly="0" labelOnly="1" outline="0" axis="axisRow" fieldPosition="7"/>
    </format>
    <format dxfId="204">
      <pivotArea field="21" type="button" dataOnly="0" labelOnly="1" outline="0" axis="axisRow" fieldPosition="8"/>
    </format>
    <format dxfId="203">
      <pivotArea field="21" type="button" dataOnly="0" labelOnly="1" outline="0" axis="axisRow" fieldPosition="8"/>
    </format>
    <format dxfId="202">
      <pivotArea field="21" type="button" dataOnly="0" labelOnly="1" outline="0" axis="axisRow" fieldPosition="8"/>
    </format>
    <format dxfId="201">
      <pivotArea field="20" type="button" dataOnly="0" labelOnly="1" outline="0" axis="axisRow" fieldPosition="9"/>
    </format>
    <format dxfId="200">
      <pivotArea field="20" type="button" dataOnly="0" labelOnly="1" outline="0" axis="axisRow" fieldPosition="9"/>
    </format>
    <format dxfId="199">
      <pivotArea field="20" type="button" dataOnly="0" labelOnly="1" outline="0" axis="axisRow" fieldPosition="9"/>
    </format>
    <format dxfId="198">
      <pivotArea field="19" type="button" dataOnly="0" labelOnly="1" outline="0" axis="axisRow" fieldPosition="10"/>
    </format>
    <format dxfId="197">
      <pivotArea field="19" type="button" dataOnly="0" labelOnly="1" outline="0" axis="axisRow" fieldPosition="10"/>
    </format>
    <format dxfId="196">
      <pivotArea field="19" type="button" dataOnly="0" labelOnly="1" outline="0" axis="axisRow" fieldPosition="10"/>
    </format>
    <format dxfId="195">
      <pivotArea dataOnly="0" labelOnly="1" outline="0" fieldPosition="0">
        <references count="1">
          <reference field="4294967294" count="1">
            <x v="0"/>
          </reference>
        </references>
      </pivotArea>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1"/>
          </reference>
        </references>
      </pivotArea>
    </format>
    <format dxfId="191">
      <pivotArea dataOnly="0" labelOnly="1" outline="0" fieldPosition="0">
        <references count="1">
          <reference field="4294967294" count="1">
            <x v="1"/>
          </reference>
        </references>
      </pivotArea>
    </format>
    <format dxfId="190">
      <pivotArea outline="0" fieldPosition="0">
        <references count="1">
          <reference field="4294967294" count="1">
            <x v="1"/>
          </reference>
        </references>
      </pivotArea>
    </format>
    <format dxfId="189">
      <pivotArea outline="0" fieldPosition="0">
        <references count="1">
          <reference field="4294967294" count="1" selected="0">
            <x v="1"/>
          </reference>
        </references>
      </pivotArea>
    </format>
    <format dxfId="188">
      <pivotArea dataOnly="0" labelOnly="1" outline="0" fieldPosition="0">
        <references count="1">
          <reference field="4294967294" count="1">
            <x v="1"/>
          </reference>
        </references>
      </pivotArea>
    </format>
    <format dxfId="187">
      <pivotArea dataOnly="0" labelOnly="1" outline="0" fieldPosition="0">
        <references count="1">
          <reference field="4294967294" count="1">
            <x v="2"/>
          </reference>
        </references>
      </pivotArea>
    </format>
    <format dxfId="186">
      <pivotArea dataOnly="0" labelOnly="1" outline="0" fieldPosition="0">
        <references count="1">
          <reference field="4294967294" count="1">
            <x v="2"/>
          </reference>
        </references>
      </pivotArea>
    </format>
    <format dxfId="185">
      <pivotArea outline="0" fieldPosition="0">
        <references count="1">
          <reference field="4294967294" count="1" selected="0">
            <x v="2"/>
          </reference>
        </references>
      </pivotArea>
    </format>
    <format dxfId="184">
      <pivotArea dataOnly="0" labelOnly="1" outline="0" fieldPosition="0">
        <references count="1">
          <reference field="4294967294" count="1">
            <x v="2"/>
          </reference>
        </references>
      </pivotArea>
    </format>
    <format dxfId="183">
      <pivotArea outline="0" fieldPosition="0">
        <references count="1">
          <reference field="4294967294" count="1">
            <x v="3"/>
          </reference>
        </references>
      </pivotArea>
    </format>
    <format dxfId="182">
      <pivotArea dataOnly="0" labelOnly="1"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outline="0" fieldPosition="0">
        <references count="1">
          <reference field="4294967294" count="1">
            <x v="4"/>
          </reference>
        </references>
      </pivotArea>
    </format>
    <format dxfId="179">
      <pivotArea dataOnly="0" labelOnly="1" outline="0" fieldPosition="0">
        <references count="1">
          <reference field="4294967294" count="1">
            <x v="4"/>
          </reference>
        </references>
      </pivotArea>
    </format>
    <format dxfId="178">
      <pivotArea outline="0" fieldPosition="0">
        <references count="1">
          <reference field="4294967294" count="1" selected="0">
            <x v="4"/>
          </reference>
        </references>
      </pivotArea>
    </format>
    <format dxfId="177">
      <pivotArea dataOnly="0" labelOnly="1" outline="0" fieldPosition="0">
        <references count="1">
          <reference field="4294967294" count="1">
            <x v="4"/>
          </reference>
        </references>
      </pivotArea>
    </format>
    <format dxfId="176">
      <pivotArea outline="0" fieldPosition="0">
        <references count="1">
          <reference field="4294967294" count="1" selected="0">
            <x v="4"/>
          </reference>
        </references>
      </pivotArea>
    </format>
    <format dxfId="175">
      <pivotArea dataOnly="0" labelOnly="1" outline="0" fieldPosition="0">
        <references count="1">
          <reference field="4294967294" count="1">
            <x v="4"/>
          </reference>
        </references>
      </pivotArea>
    </format>
    <format dxfId="174">
      <pivotArea outline="0" fieldPosition="0">
        <references count="1">
          <reference field="4294967294" count="1">
            <x v="5"/>
          </reference>
        </references>
      </pivotArea>
    </format>
    <format dxfId="173">
      <pivotArea dataOnly="0" labelOnly="1"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outline="0" fieldPosition="0">
        <references count="1">
          <reference field="4294967294" count="1" selected="0">
            <x v="5"/>
          </reference>
        </references>
      </pivotArea>
    </format>
    <format dxfId="170">
      <pivotArea dataOnly="0" labelOnly="1" outline="0" fieldPosition="0">
        <references count="1">
          <reference field="4294967294" count="1">
            <x v="5"/>
          </reference>
        </references>
      </pivotArea>
    </format>
    <format dxfId="169">
      <pivotArea outline="0" fieldPosition="0">
        <references count="1">
          <reference field="4294967294" count="1">
            <x v="6"/>
          </reference>
        </references>
      </pivotArea>
    </format>
    <format dxfId="168">
      <pivotArea outline="0" fieldPosition="0">
        <references count="1">
          <reference field="4294967294" count="1" selected="0">
            <x v="6"/>
          </reference>
        </references>
      </pivotArea>
    </format>
    <format dxfId="167">
      <pivotArea dataOnly="0" labelOnly="1" outline="0" fieldPosition="0">
        <references count="1">
          <reference field="4294967294" count="1">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7"/>
          </reference>
        </references>
      </pivotArea>
    </format>
    <format dxfId="163">
      <pivotArea dataOnly="0" labelOnly="1" outline="0" fieldPosition="0">
        <references count="1">
          <reference field="4294967294" count="1">
            <x v="7"/>
          </reference>
        </references>
      </pivotArea>
    </format>
    <format dxfId="162">
      <pivotArea outline="0" fieldPosition="0">
        <references count="1">
          <reference field="4294967294" count="1">
            <x v="7"/>
          </reference>
        </references>
      </pivotArea>
    </format>
    <format dxfId="161">
      <pivotArea dataOnly="0" labelOnly="1" outline="0" fieldPosition="0">
        <references count="1">
          <reference field="4294967294" count="1">
            <x v="8"/>
          </reference>
        </references>
      </pivotArea>
    </format>
    <format dxfId="160">
      <pivotArea dataOnly="0" labelOnly="1" outline="0" fieldPosition="0">
        <references count="1">
          <reference field="4294967294" count="1">
            <x v="8"/>
          </reference>
        </references>
      </pivotArea>
    </format>
    <format dxfId="159">
      <pivotArea outline="0" fieldPosition="0">
        <references count="1">
          <reference field="4294967294" count="1">
            <x v="8"/>
          </reference>
        </references>
      </pivotArea>
    </format>
    <format dxfId="158">
      <pivotArea dataOnly="0" labelOnly="1" outline="0" fieldPosition="0">
        <references count="1">
          <reference field="4294967294" count="1">
            <x v="9"/>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outline="0" fieldPosition="0">
        <references count="1">
          <reference field="4294967294" count="1">
            <x v="9"/>
          </reference>
        </references>
      </pivotArea>
    </format>
    <format dxfId="154">
      <pivotArea dataOnly="0" labelOnly="1" outline="0" fieldPosition="0">
        <references count="1">
          <reference field="4294967294" count="1">
            <x v="10"/>
          </reference>
        </references>
      </pivotArea>
    </format>
    <format dxfId="153">
      <pivotArea dataOnly="0" labelOnly="1" outline="0" fieldPosition="0">
        <references count="1">
          <reference field="4294967294" count="1">
            <x v="10"/>
          </reference>
        </references>
      </pivotArea>
    </format>
    <format dxfId="152">
      <pivotArea outline="0" fieldPosition="0">
        <references count="1">
          <reference field="4294967294" count="1" selected="0">
            <x v="10"/>
          </reference>
        </references>
      </pivotArea>
    </format>
    <format dxfId="151">
      <pivotArea dataOnly="0" labelOnly="1"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dataOnly="0" labelOnly="1"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outline="0" fieldPosition="0">
        <references count="1">
          <reference field="4294967294" count="1">
            <x v="12"/>
          </reference>
        </references>
      </pivotArea>
    </format>
    <format dxfId="145">
      <pivotArea outline="0" fieldPosition="0">
        <references count="1">
          <reference field="4294967294" count="1">
            <x v="10"/>
          </reference>
        </references>
      </pivotArea>
    </format>
    <format dxfId="144">
      <pivotArea dataOnly="0" labelOnly="1" outline="0" fieldPosition="0">
        <references count="1">
          <reference field="4294967294" count="1">
            <x v="12"/>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fieldPosition="0">
        <references count="1">
          <reference field="3" count="0" defaultSubtotal="1"/>
        </references>
      </pivotArea>
    </format>
    <format dxfId="140">
      <pivotArea dataOnly="0" fieldPosition="0">
        <references count="1">
          <reference field="1" count="0" defaultSubtotal="1"/>
        </references>
      </pivotArea>
    </format>
    <format dxfId="139">
      <pivotArea dataOnly="0" fieldPosition="0">
        <references count="1">
          <reference field="0" count="0" defaultSubtotal="1"/>
        </references>
      </pivotArea>
    </format>
    <format dxfId="138">
      <pivotArea dataOnly="0" fieldPosition="0">
        <references count="1">
          <reference field="8"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grandRow="1" fieldPosition="0"/>
    </format>
    <format dxfId="134">
      <pivotArea dataOnly="0" grandRow="1" fieldPosition="0"/>
    </format>
    <format dxfId="133">
      <pivotArea dataOnly="0" grandRow="1" fieldPosition="0"/>
    </format>
    <format dxfId="132">
      <pivotArea dataOnly="0" labelOnly="1" fieldPosition="0">
        <references count="1">
          <reference field="2" count="0"/>
        </references>
      </pivotArea>
    </format>
    <format dxfId="131">
      <pivotArea type="all" dataOnly="0" outline="0" fieldPosition="0"/>
    </format>
    <format dxfId="130">
      <pivotArea outline="0" collapsedLevelsAreSubtotals="1" fieldPosition="0"/>
    </format>
    <format dxfId="129">
      <pivotArea field="8" type="button" dataOnly="0" labelOnly="1" outline="0" axis="axisRow" fieldPosition="1"/>
    </format>
    <format dxfId="128">
      <pivotArea field="1" type="button" dataOnly="0" labelOnly="1" outline="0" axis="axisRow" fieldPosition="2"/>
    </format>
    <format dxfId="127">
      <pivotArea field="0" type="button" dataOnly="0" labelOnly="1" outline="0" axis="axisRow" fieldPosition="3"/>
    </format>
    <format dxfId="126">
      <pivotArea field="3" type="button" dataOnly="0" labelOnly="1" outline="0" axis="axisRow" fieldPosition="4"/>
    </format>
    <format dxfId="125">
      <pivotArea field="6" type="button" dataOnly="0" labelOnly="1" outline="0" axis="axisRow" fieldPosition="5"/>
    </format>
    <format dxfId="124">
      <pivotArea field="2" type="button" dataOnly="0" labelOnly="1" outline="0" axis="axisRow" fieldPosition="6"/>
    </format>
    <format dxfId="123">
      <pivotArea field="5" type="button" dataOnly="0" labelOnly="1" outline="0" axis="axisRow" fieldPosition="7"/>
    </format>
    <format dxfId="122">
      <pivotArea field="21" type="button" dataOnly="0" labelOnly="1" outline="0" axis="axisRow" fieldPosition="8"/>
    </format>
    <format dxfId="121">
      <pivotArea field="20" type="button" dataOnly="0" labelOnly="1" outline="0" axis="axisRow" fieldPosition="9"/>
    </format>
    <format dxfId="120">
      <pivotArea field="19" type="button" dataOnly="0" labelOnly="1" outline="0" axis="axisRow" fieldPosition="10"/>
    </format>
    <format dxfId="119">
      <pivotArea dataOnly="0" labelOnly="1" grandRow="1" outline="0" fieldPosition="0"/>
    </format>
    <format dxfId="118">
      <pivotArea dataOnly="0" labelOnly="1" outline="0" fieldPosition="0">
        <references count="1">
          <reference field="4294967294" count="13">
            <x v="0"/>
            <x v="1"/>
            <x v="2"/>
            <x v="3"/>
            <x v="4"/>
            <x v="5"/>
            <x v="6"/>
            <x v="7"/>
            <x v="8"/>
            <x v="9"/>
            <x v="10"/>
            <x v="11"/>
            <x v="12"/>
          </reference>
        </references>
      </pivotArea>
    </format>
    <format dxfId="117">
      <pivotArea field="8" type="button" dataOnly="0" labelOnly="1" outline="0" axis="axisRow" fieldPosition="1"/>
    </format>
    <format dxfId="116">
      <pivotArea field="1" type="button" dataOnly="0" labelOnly="1" outline="0" axis="axisRow" fieldPosition="2"/>
    </format>
    <format dxfId="115">
      <pivotArea field="0" type="button" dataOnly="0" labelOnly="1" outline="0" axis="axisRow" fieldPosition="3"/>
    </format>
    <format dxfId="114">
      <pivotArea field="3" type="button" dataOnly="0" labelOnly="1" outline="0" axis="axisRow" fieldPosition="4"/>
    </format>
    <format dxfId="113">
      <pivotArea field="6" type="button" dataOnly="0" labelOnly="1" outline="0" axis="axisRow" fieldPosition="5"/>
    </format>
    <format dxfId="112">
      <pivotArea field="2" type="button" dataOnly="0" labelOnly="1" outline="0" axis="axisRow" fieldPosition="6"/>
    </format>
    <format dxfId="111">
      <pivotArea field="5" type="button" dataOnly="0" labelOnly="1" outline="0" axis="axisRow" fieldPosition="7"/>
    </format>
    <format dxfId="110">
      <pivotArea field="21" type="button" dataOnly="0" labelOnly="1" outline="0" axis="axisRow" fieldPosition="8"/>
    </format>
    <format dxfId="109">
      <pivotArea field="20" type="button" dataOnly="0" labelOnly="1" outline="0" axis="axisRow" fieldPosition="9"/>
    </format>
    <format dxfId="108">
      <pivotArea field="19" type="button" dataOnly="0" labelOnly="1" outline="0" axis="axisRow" fieldPosition="10"/>
    </format>
    <format dxfId="107">
      <pivotArea dataOnly="0" labelOnly="1" outline="0" fieldPosition="0">
        <references count="1">
          <reference field="4294967294" count="13">
            <x v="0"/>
            <x v="1"/>
            <x v="2"/>
            <x v="3"/>
            <x v="4"/>
            <x v="5"/>
            <x v="6"/>
            <x v="7"/>
            <x v="8"/>
            <x v="9"/>
            <x v="10"/>
            <x v="11"/>
            <x v="12"/>
          </reference>
        </references>
      </pivotArea>
    </format>
    <format dxfId="106">
      <pivotArea field="8" type="button" dataOnly="0" labelOnly="1" outline="0" axis="axisRow" fieldPosition="1"/>
    </format>
    <format dxfId="105">
      <pivotArea field="1" type="button" dataOnly="0" labelOnly="1" outline="0" axis="axisRow" fieldPosition="2"/>
    </format>
    <format dxfId="104">
      <pivotArea field="0" type="button" dataOnly="0" labelOnly="1" outline="0" axis="axisRow" fieldPosition="3"/>
    </format>
    <format dxfId="103">
      <pivotArea field="3" type="button" dataOnly="0" labelOnly="1" outline="0" axis="axisRow" fieldPosition="4"/>
    </format>
    <format dxfId="102">
      <pivotArea field="6" type="button" dataOnly="0" labelOnly="1" outline="0" axis="axisRow" fieldPosition="5"/>
    </format>
    <format dxfId="101">
      <pivotArea field="2" type="button" dataOnly="0" labelOnly="1" outline="0" axis="axisRow" fieldPosition="6"/>
    </format>
    <format dxfId="100">
      <pivotArea field="5" type="button" dataOnly="0" labelOnly="1" outline="0" axis="axisRow" fieldPosition="7"/>
    </format>
    <format dxfId="99">
      <pivotArea field="21" type="button" dataOnly="0" labelOnly="1" outline="0" axis="axisRow" fieldPosition="8"/>
    </format>
    <format dxfId="98">
      <pivotArea field="20" type="button" dataOnly="0" labelOnly="1" outline="0" axis="axisRow" fieldPosition="9"/>
    </format>
    <format dxfId="97">
      <pivotArea field="19" type="button" dataOnly="0" labelOnly="1" outline="0" axis="axisRow" fieldPosition="10"/>
    </format>
    <format dxfId="96">
      <pivotArea dataOnly="0" labelOnly="1" outline="0" fieldPosition="0">
        <references count="1">
          <reference field="4294967294" count="13">
            <x v="0"/>
            <x v="1"/>
            <x v="2"/>
            <x v="3"/>
            <x v="4"/>
            <x v="5"/>
            <x v="6"/>
            <x v="7"/>
            <x v="8"/>
            <x v="9"/>
            <x v="10"/>
            <x v="11"/>
            <x v="12"/>
          </reference>
        </references>
      </pivotArea>
    </format>
    <format dxfId="95">
      <pivotArea field="19" type="button" dataOnly="0" labelOnly="1" outline="0" axis="axisRow" fieldPosition="10"/>
    </format>
    <format dxfId="94">
      <pivotArea dataOnly="0" labelOnly="1" outline="0" fieldPosition="0">
        <references count="1">
          <reference field="4294967294" count="13">
            <x v="0"/>
            <x v="1"/>
            <x v="2"/>
            <x v="3"/>
            <x v="4"/>
            <x v="5"/>
            <x v="6"/>
            <x v="7"/>
            <x v="8"/>
            <x v="9"/>
            <x v="10"/>
            <x v="11"/>
            <x v="12"/>
          </reference>
        </references>
      </pivotArea>
    </format>
    <format dxfId="93">
      <pivotArea field="8" type="button" dataOnly="0" labelOnly="1" outline="0" axis="axisRow" fieldPosition="1"/>
    </format>
    <format dxfId="92">
      <pivotArea field="1" type="button" dataOnly="0" labelOnly="1" outline="0" axis="axisRow" fieldPosition="2"/>
    </format>
    <format dxfId="91">
      <pivotArea field="0" type="button" dataOnly="0" labelOnly="1" outline="0" axis="axisRow" fieldPosition="3"/>
    </format>
    <format dxfId="90">
      <pivotArea field="3" type="button" dataOnly="0" labelOnly="1" outline="0" axis="axisRow" fieldPosition="4"/>
    </format>
    <format dxfId="89">
      <pivotArea field="6" type="button" dataOnly="0" labelOnly="1" outline="0" axis="axisRow" fieldPosition="5"/>
    </format>
    <format dxfId="88">
      <pivotArea field="2" type="button" dataOnly="0" labelOnly="1" outline="0" axis="axisRow" fieldPosition="6"/>
    </format>
    <format dxfId="87">
      <pivotArea field="5" type="button" dataOnly="0" labelOnly="1" outline="0" axis="axisRow" fieldPosition="7"/>
    </format>
    <format dxfId="86">
      <pivotArea field="21" type="button" dataOnly="0" labelOnly="1" outline="0" axis="axisRow" fieldPosition="8"/>
    </format>
    <format dxfId="85">
      <pivotArea field="20" type="button" dataOnly="0" labelOnly="1" outline="0" axis="axisRow" fieldPosition="9"/>
    </format>
    <format dxfId="84">
      <pivotArea dataOnly="0" fieldPosition="0">
        <references count="1">
          <reference field="3" count="0" defaultSubtotal="1"/>
        </references>
      </pivotArea>
    </format>
    <format dxfId="83">
      <pivotArea dataOnly="0" fieldPosition="0">
        <references count="1">
          <reference field="3" count="0" defaultSubtotal="1"/>
        </references>
      </pivotArea>
    </format>
    <format dxfId="82">
      <pivotArea dataOnly="0" fieldPosition="0">
        <references count="1">
          <reference field="0" count="0" defaultSubtotal="1"/>
        </references>
      </pivotArea>
    </format>
    <format dxfId="81">
      <pivotArea dataOnly="0" fieldPosition="0">
        <references count="1">
          <reference field="0" count="0" defaultSubtotal="1"/>
        </references>
      </pivotArea>
    </format>
    <format dxfId="80">
      <pivotArea dataOnly="0" fieldPosition="0">
        <references count="1">
          <reference field="1" count="0" defaultSubtotal="1"/>
        </references>
      </pivotArea>
    </format>
    <format dxfId="79">
      <pivotArea dataOnly="0" fieldPosition="0">
        <references count="1">
          <reference field="1" count="0" defaultSubtotal="1"/>
        </references>
      </pivotArea>
    </format>
    <format dxfId="78">
      <pivotArea dataOnly="0" fieldPosition="0">
        <references count="1">
          <reference field="8" count="0" defaultSubtotal="1"/>
        </references>
      </pivotArea>
    </format>
    <format dxfId="77">
      <pivotArea field="8" dataOnly="0" grandRow="1" axis="axisRow" fieldPosition="1">
        <references count="1">
          <reference field="8" count="0"/>
        </references>
      </pivotArea>
    </format>
    <format dxfId="76">
      <pivotArea dataOnly="0" labelOnly="1" outline="0" fieldPosition="0">
        <references count="1">
          <reference field="8" count="1">
            <x v="0"/>
          </reference>
        </references>
      </pivotArea>
    </format>
    <format dxfId="75">
      <pivotArea dataOnly="0" labelOnly="1" outline="0" fieldPosition="0">
        <references count="1">
          <reference field="8" count="1" defaultSubtotal="1">
            <x v="0"/>
          </reference>
        </references>
      </pivotArea>
    </format>
    <format dxfId="74">
      <pivotArea dataOnly="0" labelOnly="1" outline="0" fieldPosition="0">
        <references count="1">
          <reference field="8" count="1">
            <x v="1"/>
          </reference>
        </references>
      </pivotArea>
    </format>
    <format dxfId="73">
      <pivotArea dataOnly="0" labelOnly="1" outline="0" fieldPosition="0">
        <references count="1">
          <reference field="8" count="1" defaultSubtotal="1">
            <x v="1"/>
          </reference>
        </references>
      </pivotArea>
    </format>
    <format dxfId="72">
      <pivotArea dataOnly="0" labelOnly="1" grandRow="1" outline="0" fieldPosition="0"/>
    </format>
    <format dxfId="71">
      <pivotArea field="8" type="button" dataOnly="0" labelOnly="1" outline="0" axis="axisRow" fieldPosition="1"/>
    </format>
    <format dxfId="70">
      <pivotArea outline="0" fieldPosition="0">
        <references count="1">
          <reference field="4294967294" count="1">
            <x v="2"/>
          </reference>
        </references>
      </pivotArea>
    </format>
    <format dxfId="69">
      <pivotArea fieldPosition="0">
        <references count="2">
          <reference field="4294967294" count="2" selected="0">
            <x v="1"/>
            <x v="2"/>
          </reference>
          <reference field="8" count="1" defaultSubtotal="1">
            <x v="0"/>
          </reference>
        </references>
      </pivotArea>
    </format>
    <format dxfId="68">
      <pivotArea fieldPosition="0">
        <references count="2">
          <reference field="4294967294" count="1" selected="0">
            <x v="5"/>
          </reference>
          <reference field="8" count="1" defaultSubtotal="1">
            <x v="0"/>
          </reference>
        </references>
      </pivotArea>
    </format>
    <format dxfId="67">
      <pivotArea fieldPosition="0">
        <references count="2">
          <reference field="4294967294" count="1" selected="0">
            <x v="6"/>
          </reference>
          <reference field="8" count="1" defaultSubtotal="1">
            <x v="0"/>
          </reference>
        </references>
      </pivotArea>
    </format>
    <format dxfId="66">
      <pivotArea fieldPosition="0">
        <references count="2">
          <reference field="4294967294" count="1" selected="0">
            <x v="4"/>
          </reference>
          <reference field="8" count="1" defaultSubtotal="1">
            <x v="0"/>
          </reference>
        </references>
      </pivotArea>
    </format>
    <format dxfId="65">
      <pivotArea fieldPosition="0">
        <references count="3">
          <reference field="4294967294" count="1" selected="0">
            <x v="1"/>
          </reference>
          <reference field="1" count="0" defaultSubtotal="1"/>
          <reference field="8" count="1" selected="0">
            <x v="0"/>
          </reference>
        </references>
      </pivotArea>
    </format>
    <format dxfId="64">
      <pivotArea fieldPosition="0">
        <references count="3">
          <reference field="4294967294" count="1" selected="0">
            <x v="2"/>
          </reference>
          <reference field="1" count="0" defaultSubtotal="1"/>
          <reference field="8" count="1" selected="0">
            <x v="0"/>
          </reference>
        </references>
      </pivotArea>
    </format>
    <format dxfId="63">
      <pivotArea fieldPosition="0">
        <references count="3">
          <reference field="4294967294" count="1" selected="0">
            <x v="4"/>
          </reference>
          <reference field="1" count="0" defaultSubtotal="1"/>
          <reference field="8" count="1" selected="0">
            <x v="0"/>
          </reference>
        </references>
      </pivotArea>
    </format>
    <format dxfId="62">
      <pivotArea fieldPosition="0">
        <references count="3">
          <reference field="4294967294" count="1" selected="0">
            <x v="5"/>
          </reference>
          <reference field="1" count="0" defaultSubtotal="1"/>
          <reference field="8" count="1" selected="0">
            <x v="0"/>
          </reference>
        </references>
      </pivotArea>
    </format>
    <format dxfId="61">
      <pivotArea fieldPosition="0">
        <references count="3">
          <reference field="4294967294" count="1" selected="0">
            <x v="6"/>
          </reference>
          <reference field="1" count="0" defaultSubtotal="1"/>
          <reference field="8" count="1" selected="0">
            <x v="0"/>
          </reference>
        </references>
      </pivotArea>
    </format>
    <format dxfId="60">
      <pivotArea fieldPosition="0">
        <references count="3">
          <reference field="4294967294" count="1" selected="0">
            <x v="10"/>
          </reference>
          <reference field="1" count="0" defaultSubtotal="1"/>
          <reference field="8" count="1" selected="0">
            <x v="0"/>
          </reference>
        </references>
      </pivotArea>
    </format>
    <format dxfId="59">
      <pivotArea fieldPosition="0">
        <references count="3">
          <reference field="4294967294" count="1" selected="0">
            <x v="9"/>
          </reference>
          <reference field="1" count="0" defaultSubtotal="1"/>
          <reference field="8" count="1" selected="0">
            <x v="0"/>
          </reference>
        </references>
      </pivotArea>
    </format>
    <format dxfId="58">
      <pivotArea fieldPosition="0">
        <references count="4">
          <reference field="4294967294" count="1" selected="0">
            <x v="9"/>
          </reference>
          <reference field="0" count="0" defaultSubtotal="1"/>
          <reference field="1" count="0" selected="0"/>
          <reference field="8" count="1" selected="0">
            <x v="0"/>
          </reference>
        </references>
      </pivotArea>
    </format>
    <format dxfId="57">
      <pivotArea fieldPosition="0">
        <references count="4">
          <reference field="4294967294" count="1" selected="0">
            <x v="10"/>
          </reference>
          <reference field="0" count="0" defaultSubtotal="1"/>
          <reference field="1" count="0" selected="0"/>
          <reference field="8" count="1" selected="0">
            <x v="0"/>
          </reference>
        </references>
      </pivotArea>
    </format>
    <format dxfId="56">
      <pivotArea fieldPosition="0">
        <references count="4">
          <reference field="4294967294" count="1" selected="0">
            <x v="6"/>
          </reference>
          <reference field="0" count="0" defaultSubtotal="1"/>
          <reference field="1" count="0" selected="0"/>
          <reference field="8" count="1" selected="0">
            <x v="0"/>
          </reference>
        </references>
      </pivotArea>
    </format>
    <format dxfId="55">
      <pivotArea fieldPosition="0">
        <references count="4">
          <reference field="4294967294" count="1" selected="0">
            <x v="5"/>
          </reference>
          <reference field="0" count="0" defaultSubtotal="1"/>
          <reference field="1" count="0" selected="0"/>
          <reference field="8" count="1" selected="0">
            <x v="0"/>
          </reference>
        </references>
      </pivotArea>
    </format>
    <format dxfId="54">
      <pivotArea fieldPosition="0">
        <references count="4">
          <reference field="4294967294" count="1" selected="0">
            <x v="4"/>
          </reference>
          <reference field="0" count="0" defaultSubtotal="1"/>
          <reference field="1" count="0" selected="0"/>
          <reference field="8" count="1" selected="0">
            <x v="0"/>
          </reference>
        </references>
      </pivotArea>
    </format>
    <format dxfId="53">
      <pivotArea fieldPosition="0">
        <references count="4">
          <reference field="4294967294" count="1" selected="0">
            <x v="2"/>
          </reference>
          <reference field="0" count="0" defaultSubtotal="1"/>
          <reference field="1" count="0" selected="0"/>
          <reference field="8" count="1" selected="0">
            <x v="0"/>
          </reference>
        </references>
      </pivotArea>
    </format>
    <format dxfId="52">
      <pivotArea fieldPosition="0">
        <references count="4">
          <reference field="4294967294" count="1" selected="0">
            <x v="1"/>
          </reference>
          <reference field="0" count="0" defaultSubtotal="1"/>
          <reference field="1" count="0" selected="0"/>
          <reference field="8" count="1" selected="0">
            <x v="0"/>
          </reference>
        </references>
      </pivotArea>
    </format>
    <format dxfId="51">
      <pivotArea fieldPosition="0">
        <references count="2">
          <reference field="4294967294" count="1" selected="0">
            <x v="9"/>
          </reference>
          <reference field="8" count="1" defaultSubtotal="1">
            <x v="0"/>
          </reference>
        </references>
      </pivotArea>
    </format>
    <format dxfId="50">
      <pivotArea fieldPosition="0">
        <references count="2">
          <reference field="4294967294" count="1" selected="0">
            <x v="10"/>
          </reference>
          <reference field="8" count="1" defaultSubtotal="1">
            <x v="0"/>
          </reference>
        </references>
      </pivotArea>
    </format>
    <format dxfId="49">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1">
      <pivotArea field="8" grandRow="1" outline="0" axis="axisRow" fieldPosition="1">
        <references count="1">
          <reference field="4294967294" count="1" selected="0">
            <x v="10"/>
          </reference>
        </references>
      </pivotArea>
    </format>
    <format dxfId="40">
      <pivotArea field="8" grandRow="1" outline="0" axis="axisRow" fieldPosition="1">
        <references count="1">
          <reference field="4294967294" count="3" selected="0">
            <x v="4"/>
            <x v="5"/>
            <x v="6"/>
          </reference>
        </references>
      </pivotArea>
    </format>
    <format dxfId="39">
      <pivotArea field="8" grandRow="1" outline="0" axis="axisRow" fieldPosition="1">
        <references count="1">
          <reference field="4294967294" count="1" selected="0">
            <x v="2"/>
          </reference>
        </references>
      </pivotArea>
    </format>
    <format dxfId="38">
      <pivotArea field="8" grandRow="1" outline="0" axis="axisRow" fieldPosition="1">
        <references count="1">
          <reference field="4294967294" count="1" selected="0">
            <x v="1"/>
          </reference>
        </references>
      </pivotArea>
    </format>
    <format dxfId="37">
      <pivotArea field="8" grandRow="1" outline="0" axis="axisRow" fieldPosition="1">
        <references count="1">
          <reference field="4294967294" count="1" selected="0">
            <x v="9"/>
          </reference>
        </references>
      </pivotArea>
    </format>
    <format dxfId="36">
      <pivotArea field="18" type="button" dataOnly="0" labelOnly="1" outline="0" axis="axisRow" fieldPosition="0"/>
    </format>
    <format dxfId="35">
      <pivotArea dataOnly="0" labelOnly="1" outline="0" fieldPosition="0">
        <references count="1">
          <reference field="18" count="1">
            <x v="0"/>
          </reference>
        </references>
      </pivotArea>
    </format>
    <format dxfId="34">
      <pivotArea dataOnly="0" labelOnly="1" fieldPosition="0">
        <references count="1">
          <reference field="8" count="0"/>
        </references>
      </pivotArea>
    </format>
    <format dxfId="33">
      <pivotArea dataOnly="0" fieldPosition="0">
        <references count="1">
          <reference field="3" count="0" defaultSubtotal="1"/>
        </references>
      </pivotArea>
    </format>
    <format dxfId="32">
      <pivotArea dataOnly="0" fieldPosition="0">
        <references count="1">
          <reference field="1" count="0" defaultSubtotal="1"/>
        </references>
      </pivotArea>
    </format>
    <format dxfId="31">
      <pivotArea dataOnly="0" fieldPosition="0">
        <references count="1">
          <reference field="8" count="0" defaultSubtotal="1"/>
        </references>
      </pivotArea>
    </format>
    <format dxfId="30">
      <pivotArea dataOnly="0" grandRow="1" fieldPosition="0"/>
    </format>
    <format dxfId="29">
      <pivotArea dataOnly="0" labelOnly="1" fieldPosition="0">
        <references count="1">
          <reference field="18" count="0"/>
        </references>
      </pivotArea>
    </format>
    <format dxfId="28">
      <pivotArea dataOnly="0" labelOnly="1" fieldPosition="0">
        <references count="1">
          <reference field="8" count="0"/>
        </references>
      </pivotArea>
    </format>
    <format dxfId="27">
      <pivotArea dataOnly="0" labelOnly="1" fieldPosition="0">
        <references count="1">
          <reference field="0" count="0"/>
        </references>
      </pivotArea>
    </format>
    <format dxfId="26">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5">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3">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1">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0">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9">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8">
      <pivotArea fieldPosition="0">
        <references count="3">
          <reference field="4294967294" count="2" selected="0">
            <x v="1"/>
            <x v="2"/>
          </reference>
          <reference field="8" count="1" defaultSubtotal="1">
            <x v="1"/>
          </reference>
          <reference field="18" count="1" selected="0">
            <x v="1"/>
          </reference>
        </references>
      </pivotArea>
    </format>
    <format dxfId="17">
      <pivotArea fieldPosition="0">
        <references count="3">
          <reference field="4294967294" count="3" selected="0">
            <x v="4"/>
            <x v="5"/>
            <x v="6"/>
          </reference>
          <reference field="8" count="1" defaultSubtotal="1">
            <x v="1"/>
          </reference>
          <reference field="18" count="1" selected="0">
            <x v="1"/>
          </reference>
        </references>
      </pivotArea>
    </format>
    <format dxfId="16">
      <pivotArea fieldPosition="0">
        <references count="3">
          <reference field="4294967294" count="2" selected="0">
            <x v="9"/>
            <x v="10"/>
          </reference>
          <reference field="8" count="1" defaultSubtotal="1">
            <x v="1"/>
          </reference>
          <reference field="18" count="1" selected="0">
            <x v="1"/>
          </reference>
        </references>
      </pivotArea>
    </format>
    <format dxfId="15">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4">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3">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2">
      <pivotArea fieldPosition="0">
        <references count="3">
          <reference field="4294967294" count="2" selected="0">
            <x v="7"/>
            <x v="8"/>
          </reference>
          <reference field="8" count="1" defaultSubtotal="1">
            <x v="0"/>
          </reference>
          <reference field="18" count="1" selected="0">
            <x v="0"/>
          </reference>
        </references>
      </pivotArea>
    </format>
    <format dxfId="11">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10">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9">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8">
      <pivotArea fieldPosition="0">
        <references count="3">
          <reference field="4294967294" count="2" selected="0">
            <x v="7"/>
            <x v="8"/>
          </reference>
          <reference field="8" count="1" defaultSubtotal="1">
            <x v="1"/>
          </reference>
          <reference field="18" count="1" selected="0">
            <x v="1"/>
          </reference>
        </references>
      </pivotArea>
    </format>
    <format dxfId="7">
      <pivotArea field="18" grandRow="1" outline="0" axis="axisRow" fieldPosition="0">
        <references count="1">
          <reference field="4294967294" count="2" selected="0">
            <x v="7"/>
            <x v="8"/>
          </reference>
        </references>
      </pivotArea>
    </format>
    <format dxfId="6">
      <pivotArea dataOnly="0" outline="0" fieldPosition="0">
        <references count="1">
          <reference field="4294967294" count="1">
            <x v="3"/>
          </reference>
        </references>
      </pivotArea>
    </format>
    <format dxfId="5">
      <pivotArea dataOnly="0" labelOnly="1" outline="0" fieldPosition="0">
        <references count="1">
          <reference field="4294967294" count="1">
            <x v="3"/>
          </reference>
        </references>
      </pivotArea>
    </format>
    <format dxfId="4">
      <pivotArea dataOnly="0" outline="0" fieldPosition="0">
        <references count="1">
          <reference field="4294967294" count="1">
            <x v="7"/>
          </reference>
        </references>
      </pivotArea>
    </format>
    <format dxfId="3">
      <pivotArea dataOnly="0" labelOnly="1" outline="0" fieldPosition="0">
        <references count="1">
          <reference field="4294967294" count="1">
            <x v="7"/>
          </reference>
        </references>
      </pivotArea>
    </format>
    <format dxfId="2">
      <pivotArea dataOnly="0" outline="0" fieldPosition="0">
        <references count="1">
          <reference field="4294967294" count="1">
            <x v="8"/>
          </reference>
        </references>
      </pivotArea>
    </format>
    <format dxfId="1">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0">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workbookViewId="0">
      <selection activeCell="F9" sqref="F9"/>
    </sheetView>
  </sheetViews>
  <sheetFormatPr defaultColWidth="29.08984375" defaultRowHeight="15"/>
  <cols>
    <col min="1" max="1" width="29.7265625" style="717" bestFit="1" customWidth="1"/>
    <col min="2" max="2" width="11.26953125" style="691" customWidth="1"/>
    <col min="3" max="3" width="15.90625" style="691" bestFit="1" customWidth="1"/>
    <col min="4" max="4" width="14.26953125" style="691" customWidth="1"/>
    <col min="5" max="5" width="40" style="691" bestFit="1" customWidth="1"/>
    <col min="6" max="16384" width="29.08984375" style="691"/>
  </cols>
  <sheetData>
    <row r="1" spans="1:5">
      <c r="A1" s="714" t="s">
        <v>704</v>
      </c>
      <c r="C1" s="715" t="s">
        <v>705</v>
      </c>
      <c r="E1" s="716" t="s">
        <v>706</v>
      </c>
    </row>
    <row r="2" spans="1:5">
      <c r="A2" s="717" t="s">
        <v>707</v>
      </c>
      <c r="C2" s="691" t="s">
        <v>708</v>
      </c>
      <c r="E2" s="717" t="s">
        <v>709</v>
      </c>
    </row>
    <row r="3" spans="1:5">
      <c r="A3" s="717" t="s">
        <v>709</v>
      </c>
      <c r="E3" s="717" t="s">
        <v>710</v>
      </c>
    </row>
    <row r="4" spans="1:5">
      <c r="A4" s="717" t="s">
        <v>711</v>
      </c>
      <c r="E4" s="717" t="s">
        <v>712</v>
      </c>
    </row>
    <row r="5" spans="1:5">
      <c r="A5" s="717" t="s">
        <v>710</v>
      </c>
      <c r="E5" s="717" t="s">
        <v>713</v>
      </c>
    </row>
    <row r="6" spans="1:5">
      <c r="A6" s="717" t="s">
        <v>712</v>
      </c>
      <c r="E6" s="717" t="s">
        <v>714</v>
      </c>
    </row>
    <row r="7" spans="1:5">
      <c r="A7" s="717" t="s">
        <v>713</v>
      </c>
      <c r="E7" s="717" t="s">
        <v>715</v>
      </c>
    </row>
    <row r="8" spans="1:5">
      <c r="A8" s="717" t="s">
        <v>714</v>
      </c>
      <c r="E8" s="717" t="s">
        <v>716</v>
      </c>
    </row>
    <row r="9" spans="1:5">
      <c r="A9" s="717" t="s">
        <v>715</v>
      </c>
      <c r="E9" s="717" t="s">
        <v>717</v>
      </c>
    </row>
    <row r="10" spans="1:5">
      <c r="A10" s="717" t="s">
        <v>716</v>
      </c>
      <c r="E10" s="717" t="s">
        <v>63</v>
      </c>
    </row>
    <row r="11" spans="1:5">
      <c r="A11" s="717" t="s">
        <v>717</v>
      </c>
      <c r="E11" s="717" t="s">
        <v>693</v>
      </c>
    </row>
    <row r="12" spans="1:5">
      <c r="A12" s="717" t="s">
        <v>63</v>
      </c>
      <c r="E12" s="717" t="s">
        <v>694</v>
      </c>
    </row>
    <row r="13" spans="1:5">
      <c r="A13" s="717" t="s">
        <v>693</v>
      </c>
      <c r="E13" s="717" t="s">
        <v>718</v>
      </c>
    </row>
    <row r="14" spans="1:5">
      <c r="A14" s="717" t="s">
        <v>694</v>
      </c>
      <c r="E14" s="717" t="s">
        <v>719</v>
      </c>
    </row>
    <row r="15" spans="1:5">
      <c r="A15" s="717" t="s">
        <v>718</v>
      </c>
      <c r="E15" s="717" t="s">
        <v>720</v>
      </c>
    </row>
    <row r="16" spans="1:5">
      <c r="A16" s="717" t="s">
        <v>719</v>
      </c>
      <c r="E16" s="718" t="s">
        <v>721</v>
      </c>
    </row>
    <row r="17" spans="1:5">
      <c r="A17" s="717" t="s">
        <v>720</v>
      </c>
      <c r="E17" s="717" t="s">
        <v>643</v>
      </c>
    </row>
    <row r="18" spans="1:5">
      <c r="A18" s="718" t="s">
        <v>721</v>
      </c>
      <c r="E18" s="717" t="s">
        <v>703</v>
      </c>
    </row>
    <row r="19" spans="1:5">
      <c r="A19" s="717" t="s">
        <v>643</v>
      </c>
      <c r="E19" s="717" t="s">
        <v>700</v>
      </c>
    </row>
    <row r="20" spans="1:5">
      <c r="A20" s="717" t="s">
        <v>703</v>
      </c>
      <c r="E20" s="717" t="s">
        <v>695</v>
      </c>
    </row>
    <row r="21" spans="1:5">
      <c r="A21" s="717" t="s">
        <v>700</v>
      </c>
      <c r="E21" s="717" t="s">
        <v>696</v>
      </c>
    </row>
    <row r="22" spans="1:5">
      <c r="A22" s="717" t="s">
        <v>695</v>
      </c>
      <c r="E22" s="717" t="s">
        <v>697</v>
      </c>
    </row>
    <row r="23" spans="1:5">
      <c r="A23" s="717" t="s">
        <v>696</v>
      </c>
      <c r="E23" s="717" t="s">
        <v>699</v>
      </c>
    </row>
    <row r="24" spans="1:5">
      <c r="A24" s="717" t="s">
        <v>697</v>
      </c>
      <c r="E24" s="717" t="s">
        <v>722</v>
      </c>
    </row>
    <row r="25" spans="1:5">
      <c r="A25" s="717" t="s">
        <v>699</v>
      </c>
      <c r="E25" s="717" t="s">
        <v>698</v>
      </c>
    </row>
    <row r="26" spans="1:5">
      <c r="A26" s="717" t="s">
        <v>722</v>
      </c>
      <c r="E26" s="717" t="s">
        <v>701</v>
      </c>
    </row>
    <row r="27" spans="1:5">
      <c r="A27" s="717" t="s">
        <v>698</v>
      </c>
      <c r="E27" s="717" t="s">
        <v>702</v>
      </c>
    </row>
    <row r="28" spans="1:5">
      <c r="A28" s="717" t="s">
        <v>701</v>
      </c>
    </row>
    <row r="29" spans="1:5">
      <c r="A29" s="717"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91" bestFit="1" customWidth="1"/>
    <col min="2" max="2" width="5.36328125" style="691" bestFit="1" customWidth="1"/>
    <col min="3" max="3" width="13" style="691" bestFit="1" customWidth="1"/>
    <col min="4" max="12" width="9.36328125" style="691" bestFit="1" customWidth="1"/>
    <col min="13" max="13" width="18.54296875" style="691" bestFit="1" customWidth="1"/>
    <col min="14" max="14" width="8.7265625" style="691"/>
    <col min="15" max="15" width="11.1796875" style="691" customWidth="1"/>
    <col min="16" max="16" width="28.7265625" style="691" bestFit="1" customWidth="1"/>
    <col min="17" max="17" width="8.7265625" style="691"/>
    <col min="18" max="18" width="28.7265625" style="691" bestFit="1" customWidth="1"/>
    <col min="19" max="19" width="44.90625" style="691" bestFit="1" customWidth="1"/>
    <col min="20" max="16384" width="8.7265625" style="691"/>
  </cols>
  <sheetData>
    <row r="1" spans="1:19">
      <c r="A1" s="681" t="s">
        <v>688</v>
      </c>
      <c r="B1" s="682"/>
      <c r="C1" s="683" t="s">
        <v>689</v>
      </c>
      <c r="D1" s="684"/>
      <c r="E1" s="684"/>
      <c r="F1" s="684"/>
      <c r="G1" s="684"/>
      <c r="H1" s="684"/>
      <c r="I1" s="684"/>
      <c r="J1" s="684"/>
      <c r="K1" s="684"/>
      <c r="L1" s="684"/>
      <c r="M1" s="684"/>
      <c r="N1" s="685"/>
      <c r="O1" s="686" t="s">
        <v>690</v>
      </c>
      <c r="P1" s="687" t="s">
        <v>691</v>
      </c>
      <c r="Q1" s="688"/>
      <c r="R1" s="689" t="s">
        <v>692</v>
      </c>
      <c r="S1" s="690"/>
    </row>
    <row r="2" spans="1:19" ht="19.8" thickBot="1">
      <c r="A2" s="692">
        <v>8</v>
      </c>
      <c r="B2" s="693"/>
      <c r="C2" s="694"/>
      <c r="D2" s="695" t="s">
        <v>353</v>
      </c>
      <c r="E2" s="695"/>
      <c r="F2" s="695"/>
      <c r="G2" s="695"/>
      <c r="H2" s="695"/>
      <c r="I2" s="695"/>
      <c r="J2" s="695"/>
      <c r="K2" s="695"/>
      <c r="L2" s="695"/>
      <c r="M2" s="695"/>
      <c r="N2" s="696"/>
      <c r="O2" s="697" t="b">
        <v>1</v>
      </c>
      <c r="P2" s="698" t="s">
        <v>63</v>
      </c>
      <c r="Q2" s="696">
        <v>10</v>
      </c>
      <c r="R2" s="699" t="s">
        <v>63</v>
      </c>
      <c r="S2" s="699" t="s">
        <v>185</v>
      </c>
    </row>
    <row r="3" spans="1:19" ht="19.2">
      <c r="B3" s="693"/>
      <c r="C3" s="700"/>
      <c r="D3" s="701" t="s">
        <v>67</v>
      </c>
      <c r="E3" s="701" t="s">
        <v>67</v>
      </c>
      <c r="F3" s="701" t="s">
        <v>67</v>
      </c>
      <c r="G3" s="701" t="s">
        <v>67</v>
      </c>
      <c r="H3" s="701" t="s">
        <v>67</v>
      </c>
      <c r="I3" s="701" t="s">
        <v>67</v>
      </c>
      <c r="J3" s="701" t="s">
        <v>67</v>
      </c>
      <c r="K3" s="701" t="s">
        <v>67</v>
      </c>
      <c r="L3" s="701" t="s">
        <v>67</v>
      </c>
      <c r="M3" s="702" t="s">
        <v>70</v>
      </c>
      <c r="N3" s="696"/>
      <c r="P3" s="698" t="s">
        <v>693</v>
      </c>
      <c r="Q3" s="696">
        <v>10</v>
      </c>
      <c r="R3" s="699" t="s">
        <v>693</v>
      </c>
      <c r="S3" s="699" t="s">
        <v>457</v>
      </c>
    </row>
    <row r="4" spans="1:19" ht="19.2">
      <c r="B4" s="693"/>
      <c r="C4" s="703"/>
      <c r="D4" s="701" t="s">
        <v>69</v>
      </c>
      <c r="E4" s="701" t="s">
        <v>69</v>
      </c>
      <c r="F4" s="701" t="s">
        <v>69</v>
      </c>
      <c r="G4" s="701" t="s">
        <v>69</v>
      </c>
      <c r="H4" s="701" t="s">
        <v>69</v>
      </c>
      <c r="I4" s="701" t="s">
        <v>69</v>
      </c>
      <c r="J4" s="701" t="s">
        <v>69</v>
      </c>
      <c r="K4" s="701" t="s">
        <v>69</v>
      </c>
      <c r="L4" s="701" t="s">
        <v>69</v>
      </c>
      <c r="M4" s="702"/>
      <c r="N4" s="696"/>
      <c r="P4" s="698" t="s">
        <v>694</v>
      </c>
      <c r="Q4" s="696">
        <v>10</v>
      </c>
      <c r="R4" s="699" t="s">
        <v>694</v>
      </c>
      <c r="S4" s="699" t="s">
        <v>186</v>
      </c>
    </row>
    <row r="5" spans="1:19" ht="19.2">
      <c r="B5" s="693"/>
      <c r="C5" s="704" t="s">
        <v>352</v>
      </c>
      <c r="D5" s="705"/>
      <c r="E5" s="705"/>
      <c r="F5" s="705"/>
      <c r="G5" s="705"/>
      <c r="H5" s="705"/>
      <c r="I5" s="705"/>
      <c r="J5" s="705"/>
      <c r="K5" s="705"/>
      <c r="L5" s="705"/>
      <c r="M5" s="705">
        <f t="shared" ref="M5:M17" si="0">SUM(D5:L5)</f>
        <v>0</v>
      </c>
      <c r="N5" s="696"/>
      <c r="P5" s="698" t="s">
        <v>643</v>
      </c>
      <c r="Q5" s="696">
        <v>10</v>
      </c>
      <c r="R5" s="699" t="s">
        <v>643</v>
      </c>
      <c r="S5" s="699" t="s">
        <v>188</v>
      </c>
    </row>
    <row r="6" spans="1:19" ht="19.2">
      <c r="B6" s="693"/>
      <c r="C6" s="704" t="s">
        <v>66</v>
      </c>
      <c r="D6" s="705"/>
      <c r="E6" s="705"/>
      <c r="F6" s="705"/>
      <c r="G6" s="705"/>
      <c r="H6" s="705"/>
      <c r="I6" s="705"/>
      <c r="J6" s="705"/>
      <c r="K6" s="705"/>
      <c r="L6" s="705"/>
      <c r="M6" s="705">
        <f t="shared" si="0"/>
        <v>0</v>
      </c>
      <c r="N6" s="696"/>
      <c r="P6" s="698" t="s">
        <v>695</v>
      </c>
      <c r="Q6" s="696">
        <v>10</v>
      </c>
      <c r="R6" s="699" t="s">
        <v>695</v>
      </c>
      <c r="S6" s="699" t="s">
        <v>377</v>
      </c>
    </row>
    <row r="7" spans="1:19" ht="19.2">
      <c r="B7" s="693"/>
      <c r="C7" s="704" t="s">
        <v>68</v>
      </c>
      <c r="D7" s="705"/>
      <c r="E7" s="705"/>
      <c r="F7" s="705"/>
      <c r="G7" s="705"/>
      <c r="H7" s="705"/>
      <c r="I7" s="705"/>
      <c r="J7" s="705"/>
      <c r="K7" s="705"/>
      <c r="L7" s="705"/>
      <c r="M7" s="705">
        <f t="shared" si="0"/>
        <v>0</v>
      </c>
      <c r="N7" s="696"/>
      <c r="P7" s="698" t="s">
        <v>696</v>
      </c>
      <c r="Q7" s="696">
        <v>10</v>
      </c>
      <c r="R7" s="699" t="s">
        <v>696</v>
      </c>
      <c r="S7" s="699" t="s">
        <v>381</v>
      </c>
    </row>
    <row r="8" spans="1:19" ht="19.2">
      <c r="B8" s="693"/>
      <c r="C8" s="704" t="s">
        <v>71</v>
      </c>
      <c r="D8" s="705"/>
      <c r="E8" s="705"/>
      <c r="F8" s="705"/>
      <c r="G8" s="705"/>
      <c r="H8" s="705"/>
      <c r="I8" s="705"/>
      <c r="J8" s="705"/>
      <c r="K8" s="705"/>
      <c r="L8" s="705"/>
      <c r="M8" s="705">
        <f t="shared" si="0"/>
        <v>0</v>
      </c>
      <c r="N8" s="696"/>
      <c r="P8" s="698" t="s">
        <v>697</v>
      </c>
      <c r="Q8" s="696">
        <v>10</v>
      </c>
      <c r="R8" s="699" t="s">
        <v>697</v>
      </c>
      <c r="S8" s="699" t="s">
        <v>187</v>
      </c>
    </row>
    <row r="9" spans="1:19" ht="19.2">
      <c r="B9" s="693"/>
      <c r="C9" s="704" t="s">
        <v>72</v>
      </c>
      <c r="D9" s="705"/>
      <c r="E9" s="705"/>
      <c r="F9" s="705"/>
      <c r="G9" s="705"/>
      <c r="H9" s="705"/>
      <c r="I9" s="705"/>
      <c r="J9" s="705"/>
      <c r="K9" s="705"/>
      <c r="L9" s="705"/>
      <c r="M9" s="705">
        <f t="shared" si="0"/>
        <v>0</v>
      </c>
      <c r="N9" s="696"/>
      <c r="P9" s="698" t="s">
        <v>698</v>
      </c>
      <c r="Q9" s="696">
        <v>10</v>
      </c>
      <c r="R9" s="699" t="s">
        <v>699</v>
      </c>
      <c r="S9" s="699" t="s">
        <v>403</v>
      </c>
    </row>
    <row r="10" spans="1:19" ht="19.2">
      <c r="B10" s="693"/>
      <c r="C10" s="704" t="s">
        <v>73</v>
      </c>
      <c r="D10" s="705"/>
      <c r="E10" s="705"/>
      <c r="F10" s="705"/>
      <c r="G10" s="705"/>
      <c r="H10" s="705"/>
      <c r="I10" s="705"/>
      <c r="J10" s="705"/>
      <c r="K10" s="705"/>
      <c r="L10" s="705"/>
      <c r="M10" s="705">
        <f t="shared" si="0"/>
        <v>0</v>
      </c>
      <c r="N10" s="696"/>
      <c r="P10" s="698" t="s">
        <v>699</v>
      </c>
      <c r="Q10" s="696">
        <v>10</v>
      </c>
      <c r="R10" s="699" t="s">
        <v>698</v>
      </c>
      <c r="S10" s="699" t="s">
        <v>96</v>
      </c>
    </row>
    <row r="11" spans="1:19" ht="19.2">
      <c r="B11" s="693"/>
      <c r="C11" s="704" t="s">
        <v>74</v>
      </c>
      <c r="D11" s="705"/>
      <c r="E11" s="705"/>
      <c r="F11" s="705"/>
      <c r="G11" s="705"/>
      <c r="H11" s="705"/>
      <c r="I11" s="705"/>
      <c r="J11" s="705"/>
      <c r="K11" s="705"/>
      <c r="L11" s="705"/>
      <c r="M11" s="705">
        <f t="shared" si="0"/>
        <v>0</v>
      </c>
      <c r="N11" s="696"/>
      <c r="P11" s="698" t="s">
        <v>700</v>
      </c>
      <c r="Q11" s="696">
        <v>9</v>
      </c>
      <c r="R11" s="706" t="s">
        <v>700</v>
      </c>
      <c r="S11" s="706" t="s">
        <v>370</v>
      </c>
    </row>
    <row r="12" spans="1:19" ht="19.2">
      <c r="B12" s="693"/>
      <c r="C12" s="704" t="s">
        <v>75</v>
      </c>
      <c r="D12" s="705"/>
      <c r="E12" s="705"/>
      <c r="F12" s="705"/>
      <c r="G12" s="705"/>
      <c r="H12" s="705"/>
      <c r="I12" s="705"/>
      <c r="J12" s="705"/>
      <c r="K12" s="705"/>
      <c r="L12" s="705"/>
      <c r="M12" s="705">
        <f t="shared" si="0"/>
        <v>0</v>
      </c>
      <c r="N12" s="696"/>
      <c r="P12" s="698" t="s">
        <v>701</v>
      </c>
      <c r="Q12" s="696">
        <v>9</v>
      </c>
      <c r="R12" s="706" t="s">
        <v>701</v>
      </c>
      <c r="S12" s="706" t="s">
        <v>538</v>
      </c>
    </row>
    <row r="13" spans="1:19" ht="19.2">
      <c r="B13" s="693"/>
      <c r="C13" s="704" t="s">
        <v>76</v>
      </c>
      <c r="D13" s="705"/>
      <c r="E13" s="705"/>
      <c r="F13" s="705"/>
      <c r="G13" s="705"/>
      <c r="H13" s="705"/>
      <c r="I13" s="705"/>
      <c r="J13" s="705"/>
      <c r="K13" s="705"/>
      <c r="L13" s="705"/>
      <c r="M13" s="705">
        <f t="shared" si="0"/>
        <v>0</v>
      </c>
      <c r="N13" s="696"/>
      <c r="P13" s="698" t="s">
        <v>702</v>
      </c>
      <c r="Q13" s="696">
        <v>9</v>
      </c>
      <c r="R13" s="706" t="s">
        <v>702</v>
      </c>
      <c r="S13" s="706" t="s">
        <v>544</v>
      </c>
    </row>
    <row r="14" spans="1:19" ht="19.8" thickBot="1">
      <c r="B14" s="693"/>
      <c r="C14" s="704" t="s">
        <v>77</v>
      </c>
      <c r="D14" s="705"/>
      <c r="E14" s="705"/>
      <c r="F14" s="705"/>
      <c r="G14" s="705"/>
      <c r="H14" s="705"/>
      <c r="I14" s="705"/>
      <c r="J14" s="705"/>
      <c r="K14" s="705"/>
      <c r="L14" s="705"/>
      <c r="M14" s="705">
        <f t="shared" si="0"/>
        <v>0</v>
      </c>
      <c r="N14" s="696"/>
      <c r="P14" s="707" t="s">
        <v>703</v>
      </c>
      <c r="Q14" s="708">
        <v>17</v>
      </c>
    </row>
    <row r="15" spans="1:19" ht="19.2">
      <c r="B15" s="693"/>
      <c r="C15" s="704" t="s">
        <v>78</v>
      </c>
      <c r="D15" s="705"/>
      <c r="E15" s="705"/>
      <c r="F15" s="705"/>
      <c r="G15" s="705"/>
      <c r="H15" s="705"/>
      <c r="I15" s="705"/>
      <c r="J15" s="705"/>
      <c r="K15" s="705"/>
      <c r="L15" s="705"/>
      <c r="M15" s="705">
        <f t="shared" si="0"/>
        <v>0</v>
      </c>
      <c r="N15" s="696"/>
    </row>
    <row r="16" spans="1:19" ht="19.2">
      <c r="B16" s="693"/>
      <c r="C16" s="704" t="s">
        <v>79</v>
      </c>
      <c r="D16" s="705"/>
      <c r="E16" s="705"/>
      <c r="F16" s="705"/>
      <c r="G16" s="705"/>
      <c r="H16" s="705"/>
      <c r="I16" s="705"/>
      <c r="J16" s="705"/>
      <c r="K16" s="705"/>
      <c r="L16" s="705"/>
      <c r="M16" s="705">
        <f t="shared" si="0"/>
        <v>0</v>
      </c>
      <c r="N16" s="696"/>
    </row>
    <row r="17" spans="2:14" ht="19.2">
      <c r="B17" s="693"/>
      <c r="C17" s="704" t="s">
        <v>80</v>
      </c>
      <c r="D17" s="705"/>
      <c r="E17" s="705"/>
      <c r="F17" s="705"/>
      <c r="G17" s="705"/>
      <c r="H17" s="705"/>
      <c r="I17" s="705"/>
      <c r="J17" s="705"/>
      <c r="K17" s="705"/>
      <c r="L17" s="705"/>
      <c r="M17" s="705">
        <f t="shared" si="0"/>
        <v>0</v>
      </c>
      <c r="N17" s="696"/>
    </row>
    <row r="18" spans="2:14" ht="19.2">
      <c r="B18" s="693"/>
      <c r="C18" s="709"/>
      <c r="D18" s="694"/>
      <c r="E18" s="694"/>
      <c r="F18" s="694"/>
      <c r="G18" s="694"/>
      <c r="H18" s="694"/>
      <c r="I18" s="694"/>
      <c r="J18" s="694"/>
      <c r="K18" s="694"/>
      <c r="L18" s="694"/>
      <c r="M18" s="710">
        <f>SUM(M6:M17)</f>
        <v>0</v>
      </c>
      <c r="N18" s="696"/>
    </row>
    <row r="19" spans="2:14" ht="19.2">
      <c r="B19" s="693"/>
      <c r="C19" s="709"/>
      <c r="D19" s="709"/>
      <c r="E19" s="709"/>
      <c r="F19" s="709"/>
      <c r="N19" s="696"/>
    </row>
    <row r="20" spans="2:14" ht="19.8" thickBot="1">
      <c r="B20" s="711"/>
      <c r="C20" s="712"/>
      <c r="D20" s="712"/>
      <c r="E20" s="712"/>
      <c r="F20" s="712"/>
      <c r="G20" s="713"/>
      <c r="H20" s="713"/>
      <c r="I20" s="713"/>
      <c r="J20" s="713"/>
      <c r="K20" s="713"/>
      <c r="L20" s="713"/>
      <c r="M20" s="713"/>
      <c r="N20" s="708"/>
    </row>
    <row r="21" spans="2:14" ht="19.2">
      <c r="B21" s="709"/>
      <c r="C21" s="709"/>
      <c r="D21" s="709"/>
      <c r="E21" s="709"/>
      <c r="F21" s="709"/>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view="pageBreakPreview" zoomScale="120" zoomScaleNormal="100" zoomScaleSheetLayoutView="120" workbookViewId="0">
      <selection activeCell="B13" sqref="B13"/>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650" t="s">
        <v>466</v>
      </c>
      <c r="H3" s="650"/>
      <c r="I3" s="650"/>
      <c r="J3" s="650"/>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647" t="s">
        <v>373</v>
      </c>
      <c r="H4" s="648"/>
      <c r="I4" s="648"/>
      <c r="J4" s="649"/>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134"/>
      <c r="F6" s="134"/>
      <c r="G6" s="571"/>
      <c r="H6" s="574" t="s">
        <v>374</v>
      </c>
      <c r="I6" s="134" t="s">
        <v>448</v>
      </c>
      <c r="J6" s="572"/>
      <c r="K6" s="134"/>
      <c r="L6" s="134"/>
      <c r="M6" s="159"/>
      <c r="N6" s="159"/>
      <c r="O6" s="7"/>
      <c r="P6" s="134"/>
      <c r="Q6" s="134"/>
      <c r="R6" s="134"/>
      <c r="S6" s="134"/>
      <c r="T6" s="134"/>
      <c r="U6" s="134"/>
      <c r="V6" s="134"/>
      <c r="W6" s="134"/>
    </row>
    <row r="7" spans="2:23" ht="19.95" customHeight="1">
      <c r="B7" s="719" t="s">
        <v>4</v>
      </c>
      <c r="C7" s="719" t="s">
        <v>724</v>
      </c>
      <c r="D7" s="719"/>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651" t="s">
        <v>13</v>
      </c>
      <c r="C3" s="651"/>
      <c r="D3" s="651"/>
      <c r="E3" s="651"/>
      <c r="F3" s="651"/>
      <c r="G3" s="651"/>
    </row>
    <row r="4" spans="2:9" ht="22.95" customHeight="1">
      <c r="B4" s="652" t="s">
        <v>235</v>
      </c>
      <c r="C4" s="652"/>
      <c r="D4" s="652"/>
      <c r="E4" s="652"/>
      <c r="F4" s="652"/>
      <c r="G4" s="652"/>
    </row>
    <row r="5" spans="2:9" ht="22.95" customHeight="1">
      <c r="B5" s="653" t="s">
        <v>683</v>
      </c>
      <c r="C5" s="653"/>
      <c r="D5" s="653"/>
      <c r="E5" s="653"/>
      <c r="F5" s="653"/>
      <c r="G5" s="653"/>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rzxU4+NIlt9p1Zz00OOu6j+XRgeONYpBumyu0aIYg/3+1RcA4yOLvQ+WeccPveI3rd5qjG9UIlAHVrgsy61kGw==" saltValue="z62n3beEP00XrmWZ86L6U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tabSelected="1" view="pageBreakPreview" topLeftCell="A19" zoomScale="140" zoomScaleNormal="100" zoomScaleSheetLayoutView="140" zoomScalePageLayoutView="140" workbookViewId="0">
      <selection sqref="A1:XFD86"/>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651" t="str">
        <f>'Sumaria Ingresos'!B3:E3</f>
        <v>NOMBRE LP</v>
      </c>
      <c r="C2" s="651"/>
      <c r="D2" s="651"/>
      <c r="E2" s="651"/>
      <c r="F2" s="651"/>
      <c r="G2" s="651"/>
      <c r="H2" s="651"/>
      <c r="I2" s="651"/>
      <c r="J2" s="651"/>
      <c r="K2" s="651"/>
    </row>
    <row r="3" spans="2:11" ht="22.95" customHeight="1">
      <c r="B3" s="652" t="s">
        <v>449</v>
      </c>
      <c r="C3" s="652"/>
      <c r="D3" s="652"/>
      <c r="E3" s="652"/>
      <c r="F3" s="652"/>
      <c r="G3" s="652"/>
      <c r="H3" s="652"/>
      <c r="I3" s="652"/>
      <c r="J3" s="652"/>
      <c r="K3" s="652"/>
    </row>
    <row r="4" spans="2:11" ht="22.95" customHeight="1">
      <c r="B4" s="654" t="s">
        <v>450</v>
      </c>
      <c r="C4" s="654"/>
      <c r="D4" s="654"/>
      <c r="E4" s="654"/>
      <c r="F4" s="654"/>
      <c r="G4" s="654"/>
      <c r="H4" s="654"/>
      <c r="I4" s="654"/>
      <c r="J4" s="654"/>
      <c r="K4" s="654"/>
    </row>
    <row r="5" spans="2:11" ht="13.95" customHeight="1">
      <c r="B5" s="22" t="s">
        <v>445</v>
      </c>
      <c r="C5" s="23"/>
      <c r="D5" s="24" t="s">
        <v>678</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Bonos'!K60</f>
        <v>0</v>
      </c>
    </row>
    <row r="20" spans="2:17" ht="22.95"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-1.3673645416666681E-5</v>
      </c>
    </row>
    <row r="23" spans="2:17" ht="22.95" customHeight="1">
      <c r="B23" s="41"/>
      <c r="C23" s="50"/>
      <c r="D23" s="86" t="s">
        <v>22</v>
      </c>
      <c r="E23" s="87" t="s">
        <v>37</v>
      </c>
      <c r="F23" s="51"/>
      <c r="G23" s="52"/>
      <c r="H23" s="51"/>
      <c r="I23" s="52"/>
      <c r="J23" s="33"/>
      <c r="K23" s="89">
        <f>SUM(K18:K22)</f>
        <v>-2.7348645416666675E-5</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-2.7348645416666675E-5</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446</v>
      </c>
      <c r="G36" s="42"/>
      <c r="H36" s="35"/>
      <c r="I36" s="42"/>
      <c r="J36" s="33"/>
      <c r="K36" s="42">
        <f>+'Dividendos Extranjero'!K57</f>
        <v>0</v>
      </c>
      <c r="M36" s="1" t="s">
        <v>637</v>
      </c>
    </row>
    <row r="37" spans="2:16" ht="22.95" customHeight="1">
      <c r="B37" s="33"/>
      <c r="C37" s="34"/>
      <c r="D37" s="33" t="s">
        <v>24</v>
      </c>
      <c r="E37" s="4" t="s">
        <v>581</v>
      </c>
      <c r="G37" s="42"/>
      <c r="H37" s="35"/>
      <c r="I37" s="42"/>
      <c r="J37" s="33"/>
      <c r="K37" s="42">
        <f>+'PE - Inventario'!T165</f>
        <v>0</v>
      </c>
      <c r="M37" s="1" t="s">
        <v>637</v>
      </c>
    </row>
    <row r="38" spans="2:16" ht="22.95" customHeight="1">
      <c r="B38" s="33"/>
      <c r="C38" s="34"/>
      <c r="D38" s="33" t="s">
        <v>24</v>
      </c>
      <c r="E38" s="4" t="s">
        <v>663</v>
      </c>
      <c r="G38" s="42"/>
      <c r="H38" s="35"/>
      <c r="I38" s="42"/>
      <c r="J38" s="33"/>
      <c r="K38" s="42">
        <f>'PE - Real Gain Loss'!K42</f>
        <v>0</v>
      </c>
      <c r="O38" s="42">
        <f>+SUMIF('Ventas OFD'!$C:$C,'Ventas OFD'!$AQ$3,'Ventas OFD'!$AE:$AE)</f>
        <v>0</v>
      </c>
      <c r="P38" s="1" t="s">
        <v>439</v>
      </c>
    </row>
    <row r="39" spans="2:16" ht="22.95" customHeight="1">
      <c r="B39" s="33"/>
      <c r="C39" s="34"/>
      <c r="D39" s="33" t="s">
        <v>24</v>
      </c>
      <c r="E39" s="45" t="s">
        <v>238</v>
      </c>
      <c r="H39" s="35"/>
      <c r="J39" s="33"/>
      <c r="K39" s="42">
        <f>+IF(O40&gt;0,O40,0)</f>
        <v>0</v>
      </c>
      <c r="O39" s="46">
        <f>SUMIF('Ventas OFD'!C:C,'Ventas OFD'!AQ4,'Ventas OFD'!AE:AE)</f>
        <v>0</v>
      </c>
      <c r="P39" s="1" t="s">
        <v>440</v>
      </c>
    </row>
    <row r="40" spans="2:16" ht="22.95" customHeight="1">
      <c r="B40" s="33"/>
      <c r="C40" s="34"/>
      <c r="D40" s="33" t="s">
        <v>24</v>
      </c>
      <c r="E40" s="45" t="s">
        <v>548</v>
      </c>
      <c r="H40" s="35"/>
      <c r="J40" s="33"/>
      <c r="K40" s="42">
        <f>IF(Swap!J40&lt;=0,0,Swap!J40)</f>
        <v>0</v>
      </c>
      <c r="O40" s="58">
        <f>+O38+O39</f>
        <v>0</v>
      </c>
      <c r="P40" s="59" t="s">
        <v>222</v>
      </c>
    </row>
    <row r="41" spans="2:16" ht="22.95" customHeight="1">
      <c r="B41" s="33"/>
      <c r="C41" s="34"/>
      <c r="D41" s="33" t="s">
        <v>24</v>
      </c>
      <c r="E41" s="45" t="s">
        <v>549</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-2.7348645416666675E-5</v>
      </c>
    </row>
    <row r="46" spans="2:16" ht="19.95" customHeight="1">
      <c r="B46" s="33"/>
      <c r="C46" s="60"/>
      <c r="D46" s="33" t="s">
        <v>24</v>
      </c>
      <c r="E46" s="62" t="s">
        <v>239</v>
      </c>
      <c r="G46" s="61"/>
      <c r="H46" s="35"/>
      <c r="I46" s="61"/>
      <c r="J46" s="33"/>
      <c r="K46" s="63">
        <v>0</v>
      </c>
      <c r="M46" s="64"/>
      <c r="P46" s="331" t="s">
        <v>547</v>
      </c>
    </row>
    <row r="47" spans="2:16" ht="19.95" customHeight="1">
      <c r="B47" s="33"/>
      <c r="C47" s="34"/>
      <c r="D47" s="33" t="s">
        <v>24</v>
      </c>
      <c r="E47" s="62" t="s">
        <v>174</v>
      </c>
      <c r="G47" s="4"/>
      <c r="H47" s="4"/>
      <c r="I47" s="4"/>
      <c r="J47" s="41"/>
      <c r="K47" s="63">
        <v>0</v>
      </c>
      <c r="M47" s="64"/>
      <c r="P47" s="331" t="s">
        <v>547</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651" t="str">
        <f>+B2</f>
        <v>NOMBRE LP</v>
      </c>
      <c r="C52" s="651"/>
      <c r="D52" s="651"/>
      <c r="E52" s="651"/>
      <c r="F52" s="651"/>
      <c r="G52" s="651"/>
      <c r="H52" s="651"/>
      <c r="I52" s="651"/>
      <c r="J52" s="651"/>
      <c r="K52" s="651"/>
    </row>
    <row r="53" spans="2:11" ht="22.95" customHeight="1">
      <c r="B53" s="652" t="s">
        <v>452</v>
      </c>
      <c r="C53" s="652"/>
      <c r="D53" s="652"/>
      <c r="E53" s="652"/>
      <c r="F53" s="652"/>
      <c r="G53" s="652"/>
      <c r="H53" s="652"/>
      <c r="I53" s="652"/>
      <c r="J53" s="652"/>
      <c r="K53" s="652"/>
    </row>
    <row r="54" spans="2:11" ht="22.95" customHeight="1">
      <c r="B54" s="654" t="str">
        <f>+B4</f>
        <v>INGRESOS OBTENIDOS EN CUENTAS DEL EXTRANJERO</v>
      </c>
      <c r="C54" s="654"/>
      <c r="D54" s="654"/>
      <c r="E54" s="654"/>
      <c r="F54" s="654"/>
      <c r="G54" s="654"/>
      <c r="H54" s="654"/>
      <c r="I54" s="654"/>
      <c r="J54" s="654"/>
      <c r="K54" s="654"/>
    </row>
    <row r="55" spans="2:11" ht="13.95" customHeight="1">
      <c r="B55" s="22" t="s">
        <v>445</v>
      </c>
      <c r="C55" s="23"/>
      <c r="D55" s="24" t="s">
        <v>678</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1" t="s">
        <v>467</v>
      </c>
    </row>
    <row r="78" spans="2:16" ht="22.95" customHeight="1">
      <c r="B78" s="65"/>
      <c r="C78" s="34"/>
      <c r="D78" s="33"/>
      <c r="E78" s="35"/>
      <c r="F78" s="35"/>
      <c r="G78" s="51"/>
      <c r="H78" s="51"/>
      <c r="I78" s="51"/>
      <c r="J78" s="33"/>
      <c r="K78" s="46"/>
    </row>
    <row r="79" spans="2:16" ht="22.95" customHeight="1">
      <c r="B79" s="65"/>
      <c r="C79" s="34"/>
      <c r="D79" s="655" t="s">
        <v>249</v>
      </c>
      <c r="E79" s="655"/>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651" t="str">
        <f>'1 Ingresos Acum &amp; No Acum'!B2</f>
        <v>NOMBRE LP</v>
      </c>
      <c r="C2" s="651"/>
      <c r="D2" s="651"/>
      <c r="E2" s="651"/>
      <c r="F2" s="651"/>
      <c r="G2" s="651"/>
      <c r="H2" s="651"/>
      <c r="I2" s="651"/>
      <c r="J2" s="651"/>
    </row>
    <row r="3" spans="2:16" ht="22.95" customHeight="1">
      <c r="B3" s="652" t="s">
        <v>462</v>
      </c>
      <c r="C3" s="652"/>
      <c r="D3" s="652"/>
      <c r="E3" s="652"/>
      <c r="F3" s="652"/>
      <c r="G3" s="652"/>
      <c r="H3" s="652"/>
      <c r="I3" s="652"/>
      <c r="J3" s="652"/>
    </row>
    <row r="4" spans="2:16" ht="22.95" customHeight="1">
      <c r="B4" s="654" t="s">
        <v>451</v>
      </c>
      <c r="C4" s="654"/>
      <c r="D4" s="654"/>
      <c r="E4" s="654"/>
      <c r="F4" s="654"/>
      <c r="G4" s="654"/>
      <c r="H4" s="654"/>
      <c r="I4" s="654"/>
      <c r="J4" s="654"/>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FVhnFwpPdEsA7D92ckPheZItjwo7W/duQ0JMUAhByjDy1oURIqDLQmXRozKnUMVsB9bJNIV6N2C8n/ff/Ts35A==" saltValue="UCyrXs6GT8qe9UlzeKQQZ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651" t="str">
        <f>'2 Ingresos BMV &amp; SIC'!B2</f>
        <v>NOMBRE LP</v>
      </c>
      <c r="C3" s="651"/>
      <c r="D3" s="651"/>
      <c r="E3" s="651"/>
      <c r="F3" s="651"/>
      <c r="G3" s="651"/>
      <c r="H3" s="651"/>
      <c r="I3" s="651"/>
      <c r="J3" s="651"/>
    </row>
    <row r="4" spans="2:10" ht="22.95" customHeight="1">
      <c r="B4" s="652" t="s">
        <v>438</v>
      </c>
      <c r="C4" s="652"/>
      <c r="D4" s="652"/>
      <c r="E4" s="652"/>
      <c r="F4" s="652"/>
      <c r="G4" s="652"/>
      <c r="H4" s="652"/>
      <c r="I4" s="652"/>
      <c r="J4" s="652"/>
    </row>
    <row r="5" spans="2:10" ht="22.95" customHeight="1">
      <c r="B5" s="654" t="s">
        <v>447</v>
      </c>
      <c r="C5" s="654"/>
      <c r="D5" s="654"/>
      <c r="E5" s="654"/>
      <c r="F5" s="654"/>
      <c r="G5" s="654"/>
      <c r="H5" s="654"/>
      <c r="I5" s="654"/>
      <c r="J5" s="654"/>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S9pc3jI/2LBYPuZQLwn4m+lZ74pQiZeixsTzLpC0cj1ksyPIv2IEMN9lLSPsSF3MQlfj1AxVYPluu+1MQoDA==" saltValue="QBrAt1n4khcM6y9riq/qX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657" t="s">
        <v>463</v>
      </c>
      <c r="C2" s="657"/>
      <c r="D2" s="657"/>
      <c r="E2" s="657"/>
      <c r="F2" s="657"/>
      <c r="G2" s="657"/>
      <c r="H2" s="657"/>
      <c r="I2" s="657"/>
      <c r="J2" s="125"/>
    </row>
    <row r="3" spans="2:11" ht="19.95" customHeight="1">
      <c r="B3" s="656" t="s">
        <v>453</v>
      </c>
      <c r="C3" s="656"/>
      <c r="D3" s="656"/>
      <c r="E3" s="656"/>
      <c r="F3" s="656"/>
      <c r="G3" s="656"/>
      <c r="H3" s="656"/>
      <c r="I3" s="656"/>
      <c r="J3" s="656"/>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756">
        <v>0</v>
      </c>
      <c r="C6" s="757"/>
      <c r="D6" s="758"/>
      <c r="E6" s="757"/>
      <c r="F6" s="757"/>
      <c r="G6" s="757"/>
      <c r="H6" s="758"/>
      <c r="I6" s="349"/>
      <c r="J6"/>
      <c r="K6"/>
    </row>
    <row r="7" spans="2:11" ht="19.2">
      <c r="B7" s="350" t="s">
        <v>488</v>
      </c>
      <c r="C7" s="757"/>
      <c r="D7" s="758"/>
      <c r="E7" s="757"/>
      <c r="F7" s="757"/>
      <c r="G7" s="757"/>
      <c r="H7" s="758"/>
      <c r="I7" s="349"/>
      <c r="J7"/>
      <c r="K7"/>
    </row>
    <row r="8" spans="2:11" ht="19.2">
      <c r="B8" s="351" t="s">
        <v>488</v>
      </c>
      <c r="C8" s="757"/>
      <c r="D8" s="758"/>
      <c r="E8" s="757"/>
      <c r="F8" s="757"/>
      <c r="G8" s="757"/>
      <c r="H8" s="758"/>
      <c r="I8" s="349"/>
      <c r="J8"/>
      <c r="K8"/>
    </row>
    <row r="9" spans="2:11" ht="19.2">
      <c r="B9" s="352" t="s">
        <v>488</v>
      </c>
      <c r="C9" s="757">
        <v>0</v>
      </c>
      <c r="D9" s="758">
        <v>0</v>
      </c>
      <c r="E9" s="757">
        <v>0</v>
      </c>
      <c r="F9" s="757">
        <v>0</v>
      </c>
      <c r="G9" s="757">
        <v>0</v>
      </c>
      <c r="H9" s="758">
        <v>0</v>
      </c>
      <c r="I9" s="349">
        <v>0</v>
      </c>
      <c r="J9"/>
      <c r="K9"/>
    </row>
    <row r="10" spans="2:11" ht="19.2">
      <c r="B10" s="354" t="s">
        <v>489</v>
      </c>
      <c r="C10" s="759">
        <v>0</v>
      </c>
      <c r="D10" s="760">
        <v>0</v>
      </c>
      <c r="E10" s="759">
        <v>0</v>
      </c>
      <c r="F10" s="759">
        <v>0</v>
      </c>
      <c r="G10" s="759">
        <v>0</v>
      </c>
      <c r="H10" s="760">
        <v>0</v>
      </c>
      <c r="I10" s="355">
        <v>0</v>
      </c>
      <c r="J10"/>
      <c r="K10"/>
    </row>
    <row r="11" spans="2:11" ht="19.2">
      <c r="B11" s="353"/>
      <c r="C11" s="757"/>
      <c r="D11" s="758"/>
      <c r="E11" s="757"/>
      <c r="F11" s="757"/>
      <c r="G11" s="757"/>
      <c r="H11" s="758"/>
      <c r="I11" s="349"/>
      <c r="J11"/>
      <c r="K11"/>
    </row>
    <row r="12" spans="2:11" ht="19.2">
      <c r="B12" s="356" t="s">
        <v>489</v>
      </c>
      <c r="C12" s="761">
        <v>0</v>
      </c>
      <c r="D12" s="762">
        <v>0</v>
      </c>
      <c r="E12" s="761">
        <v>0</v>
      </c>
      <c r="F12" s="761">
        <v>0</v>
      </c>
      <c r="G12" s="761">
        <v>0</v>
      </c>
      <c r="H12" s="762">
        <v>0</v>
      </c>
      <c r="I12" s="357">
        <v>0</v>
      </c>
      <c r="J12"/>
      <c r="K12"/>
    </row>
    <row r="13" spans="2:11" ht="19.2">
      <c r="B13" s="350"/>
      <c r="C13" s="757"/>
      <c r="D13" s="758"/>
      <c r="E13" s="757"/>
      <c r="F13" s="757"/>
      <c r="G13" s="757"/>
      <c r="H13" s="758"/>
      <c r="I13" s="349"/>
      <c r="J13"/>
      <c r="K13"/>
    </row>
    <row r="14" spans="2:11" ht="19.2">
      <c r="B14" s="358" t="s">
        <v>490</v>
      </c>
      <c r="C14" s="765">
        <v>0</v>
      </c>
      <c r="D14" s="766">
        <v>0</v>
      </c>
      <c r="E14" s="765">
        <v>0</v>
      </c>
      <c r="F14" s="765">
        <v>0</v>
      </c>
      <c r="G14" s="765">
        <v>0</v>
      </c>
      <c r="H14" s="766">
        <v>0</v>
      </c>
      <c r="I14" s="359">
        <v>0</v>
      </c>
      <c r="J14"/>
      <c r="K14"/>
    </row>
    <row r="15" spans="2:11" ht="19.2">
      <c r="B15" s="67"/>
      <c r="C15" s="757"/>
      <c r="D15" s="758"/>
      <c r="E15" s="757"/>
      <c r="F15" s="757"/>
      <c r="G15" s="757"/>
      <c r="H15" s="758"/>
      <c r="I15" s="349"/>
      <c r="J15"/>
      <c r="K15"/>
    </row>
    <row r="16" spans="2:11" ht="19.2">
      <c r="B16" s="128" t="s">
        <v>62</v>
      </c>
      <c r="C16" s="767">
        <v>0</v>
      </c>
      <c r="D16" s="768">
        <v>0</v>
      </c>
      <c r="E16" s="767">
        <v>0</v>
      </c>
      <c r="F16" s="767">
        <v>0</v>
      </c>
      <c r="G16" s="767">
        <v>0</v>
      </c>
      <c r="H16" s="768">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U3OqRKOy6kduwIwJRY3DEdmrl45vnb1ZkDOXLqRmouYtpdtSOj6oedPZRu08lsaZdnMBXL6KSX/3g1namS46kQ==" saltValue="JGglW+aKOeQrLbQDsg1HQw=="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657" t="s">
        <v>464</v>
      </c>
      <c r="C2" s="657"/>
      <c r="D2" s="657"/>
      <c r="E2" s="657"/>
      <c r="F2" s="657"/>
      <c r="G2" s="657"/>
      <c r="H2" s="657"/>
      <c r="I2" s="657"/>
      <c r="J2" s="125"/>
    </row>
    <row r="3" spans="2:10" ht="22.05" customHeight="1">
      <c r="B3" s="658" t="s">
        <v>455</v>
      </c>
      <c r="C3" s="658"/>
      <c r="D3" s="658"/>
      <c r="E3" s="658"/>
      <c r="F3" s="658"/>
      <c r="G3" s="658"/>
      <c r="H3" s="658"/>
      <c r="I3" s="658"/>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756">
        <v>0</v>
      </c>
      <c r="C6" s="769"/>
      <c r="D6" s="758"/>
      <c r="E6" s="757"/>
      <c r="F6" s="757"/>
      <c r="G6" s="757"/>
      <c r="H6" s="758"/>
      <c r="I6" s="349"/>
      <c r="J6"/>
    </row>
    <row r="7" spans="2:10" ht="19.2">
      <c r="B7" s="350" t="s">
        <v>488</v>
      </c>
      <c r="C7" s="769"/>
      <c r="D7" s="758"/>
      <c r="E7" s="757"/>
      <c r="F7" s="757"/>
      <c r="G7" s="757"/>
      <c r="H7" s="758"/>
      <c r="I7" s="349"/>
      <c r="J7"/>
    </row>
    <row r="8" spans="2:10" ht="19.2">
      <c r="B8" s="351" t="s">
        <v>488</v>
      </c>
      <c r="C8" s="769"/>
      <c r="D8" s="758"/>
      <c r="E8" s="757"/>
      <c r="F8" s="757"/>
      <c r="G8" s="757"/>
      <c r="H8" s="758"/>
      <c r="I8" s="349"/>
      <c r="J8"/>
    </row>
    <row r="9" spans="2:10" ht="19.2">
      <c r="B9" s="352" t="s">
        <v>488</v>
      </c>
      <c r="C9" s="769">
        <v>0</v>
      </c>
      <c r="D9" s="758">
        <v>0</v>
      </c>
      <c r="E9" s="757">
        <v>0</v>
      </c>
      <c r="F9" s="757">
        <v>0</v>
      </c>
      <c r="G9" s="757">
        <v>0</v>
      </c>
      <c r="H9" s="758">
        <v>0</v>
      </c>
      <c r="I9" s="349">
        <v>0</v>
      </c>
      <c r="J9"/>
    </row>
    <row r="10" spans="2:10" ht="19.2">
      <c r="B10" s="354" t="s">
        <v>489</v>
      </c>
      <c r="C10" s="773">
        <v>0</v>
      </c>
      <c r="D10" s="760">
        <v>0</v>
      </c>
      <c r="E10" s="759">
        <v>0</v>
      </c>
      <c r="F10" s="759">
        <v>0</v>
      </c>
      <c r="G10" s="759">
        <v>0</v>
      </c>
      <c r="H10" s="760">
        <v>0</v>
      </c>
      <c r="I10" s="355">
        <v>0</v>
      </c>
      <c r="J10"/>
    </row>
    <row r="11" spans="2:10" ht="19.2">
      <c r="B11" s="353"/>
      <c r="C11" s="769"/>
      <c r="D11" s="758"/>
      <c r="E11" s="757"/>
      <c r="F11" s="757"/>
      <c r="G11" s="757"/>
      <c r="H11" s="758"/>
      <c r="I11" s="349"/>
      <c r="J11"/>
    </row>
    <row r="12" spans="2:10" ht="19.2">
      <c r="B12" s="356" t="s">
        <v>489</v>
      </c>
      <c r="C12" s="770">
        <v>0</v>
      </c>
      <c r="D12" s="762">
        <v>0</v>
      </c>
      <c r="E12" s="761">
        <v>0</v>
      </c>
      <c r="F12" s="761">
        <v>0</v>
      </c>
      <c r="G12" s="761">
        <v>0</v>
      </c>
      <c r="H12" s="762">
        <v>0</v>
      </c>
      <c r="I12" s="357">
        <v>0</v>
      </c>
      <c r="J12"/>
    </row>
    <row r="13" spans="2:10" ht="19.2">
      <c r="B13" s="350"/>
      <c r="C13" s="769"/>
      <c r="D13" s="758"/>
      <c r="E13" s="757"/>
      <c r="F13" s="757"/>
      <c r="G13" s="757"/>
      <c r="H13" s="758"/>
      <c r="I13" s="349"/>
      <c r="J13"/>
    </row>
    <row r="14" spans="2:10" ht="19.2">
      <c r="B14" s="362" t="s">
        <v>490</v>
      </c>
      <c r="C14" s="771">
        <v>0</v>
      </c>
      <c r="D14" s="764">
        <v>0</v>
      </c>
      <c r="E14" s="763">
        <v>0</v>
      </c>
      <c r="F14" s="763">
        <v>0</v>
      </c>
      <c r="G14" s="763">
        <v>0</v>
      </c>
      <c r="H14" s="764">
        <v>0</v>
      </c>
      <c r="I14" s="363">
        <v>0</v>
      </c>
      <c r="J14"/>
    </row>
    <row r="15" spans="2:10" ht="19.2">
      <c r="B15" s="67"/>
      <c r="C15" s="769"/>
      <c r="D15" s="758"/>
      <c r="E15" s="757"/>
      <c r="F15" s="757"/>
      <c r="G15" s="757"/>
      <c r="H15" s="758"/>
      <c r="I15" s="349"/>
      <c r="J15"/>
    </row>
    <row r="16" spans="2:10" ht="19.2">
      <c r="B16" s="128" t="s">
        <v>62</v>
      </c>
      <c r="C16" s="772">
        <v>0</v>
      </c>
      <c r="D16" s="768">
        <v>0</v>
      </c>
      <c r="E16" s="767">
        <v>0</v>
      </c>
      <c r="F16" s="767">
        <v>0</v>
      </c>
      <c r="G16" s="767">
        <v>0</v>
      </c>
      <c r="H16" s="768">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IJGzs9ORWRadhn0Cd9ywg1Hf1XrJMNsHHNfvx8pfmiHdfP1Y8+QMmTok1sHGHmN5a706u3Y4g72GOfyR4DriMw==" saltValue="hrC6U5V8Ax7BpCDAWcd8Pg=="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18.08984375" style="1" bestFit="1" customWidth="1"/>
    <col min="9" max="9" width="13.1796875" style="1" bestFit="1" customWidth="1"/>
    <col min="10" max="10" width="18.26953125" style="1" bestFit="1" customWidth="1"/>
    <col min="11" max="11" width="17" style="1" bestFit="1" customWidth="1"/>
    <col min="12" max="12" width="15.6328125" style="1" bestFit="1" customWidth="1"/>
    <col min="13" max="13" width="15.90625" style="1" bestFit="1" customWidth="1"/>
    <col min="14" max="14" width="18.0898437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659" t="s">
        <v>493</v>
      </c>
      <c r="C2" s="659"/>
      <c r="D2" s="659"/>
      <c r="E2" s="659"/>
      <c r="F2" s="659"/>
      <c r="G2" s="659"/>
      <c r="H2" s="659"/>
      <c r="I2" s="659"/>
      <c r="J2" s="659"/>
      <c r="K2" s="659"/>
      <c r="L2" s="659"/>
      <c r="M2" s="659"/>
      <c r="N2" s="659"/>
      <c r="O2" s="125"/>
      <c r="P2" s="125"/>
      <c r="Q2" s="125"/>
      <c r="R2" s="125"/>
      <c r="S2" s="125"/>
      <c r="T2" s="125"/>
      <c r="U2" s="125"/>
      <c r="V2" s="125"/>
      <c r="W2" s="125"/>
      <c r="X2" s="125"/>
      <c r="Y2" s="125"/>
      <c r="Z2" s="124"/>
    </row>
    <row r="3" spans="2:27" ht="19.2">
      <c r="B3" s="660" t="s">
        <v>456</v>
      </c>
      <c r="C3" s="660"/>
      <c r="D3" s="660"/>
      <c r="E3" s="660"/>
      <c r="F3" s="660"/>
      <c r="G3" s="660"/>
      <c r="H3" s="660"/>
      <c r="I3" s="660"/>
      <c r="J3" s="660"/>
      <c r="K3" s="660"/>
      <c r="L3" s="660"/>
      <c r="M3" s="660"/>
      <c r="N3" s="660"/>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45">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720" t="s">
        <v>488</v>
      </c>
      <c r="H6" s="720" t="s">
        <v>488</v>
      </c>
      <c r="I6" s="725"/>
      <c r="J6" s="614"/>
      <c r="K6" s="614" t="e">
        <v>#N/A</v>
      </c>
      <c r="L6" s="725"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729"/>
      <c r="J7" s="588"/>
      <c r="K7" s="588" t="e">
        <v>#N/A</v>
      </c>
      <c r="L7" s="729" t="e">
        <v>#N/A</v>
      </c>
      <c r="M7" s="623">
        <v>0</v>
      </c>
      <c r="N7" s="588">
        <v>0</v>
      </c>
      <c r="O7"/>
      <c r="P7"/>
      <c r="Q7"/>
      <c r="R7"/>
      <c r="S7"/>
      <c r="T7"/>
      <c r="U7"/>
      <c r="V7"/>
      <c r="W7"/>
      <c r="X7"/>
      <c r="Y7"/>
      <c r="Z7"/>
      <c r="AA7"/>
    </row>
    <row r="8" spans="2:27" ht="16.95" customHeight="1">
      <c r="B8" s="476" t="s">
        <v>668</v>
      </c>
      <c r="C8" s="50">
        <v>0</v>
      </c>
      <c r="D8" s="565" t="s">
        <v>489</v>
      </c>
      <c r="E8" s="565"/>
      <c r="F8" s="565"/>
      <c r="G8" s="565"/>
      <c r="H8" s="565"/>
      <c r="I8" s="733"/>
      <c r="J8" s="581"/>
      <c r="K8" s="581" t="e">
        <v>#N/A</v>
      </c>
      <c r="L8" s="733" t="e">
        <v>#N/A</v>
      </c>
      <c r="M8" s="624">
        <v>0</v>
      </c>
      <c r="N8" s="581">
        <v>0</v>
      </c>
      <c r="O8"/>
      <c r="P8"/>
      <c r="Q8"/>
      <c r="R8"/>
      <c r="S8"/>
      <c r="T8"/>
      <c r="U8"/>
      <c r="V8"/>
      <c r="W8"/>
      <c r="X8"/>
      <c r="Y8"/>
      <c r="Z8"/>
      <c r="AA8"/>
    </row>
    <row r="9" spans="2:27" ht="16.95" customHeight="1">
      <c r="B9" s="476" t="s">
        <v>668</v>
      </c>
      <c r="C9" s="566" t="s">
        <v>490</v>
      </c>
      <c r="D9" s="566"/>
      <c r="E9" s="566"/>
      <c r="F9" s="566"/>
      <c r="G9" s="566"/>
      <c r="H9" s="566"/>
      <c r="I9" s="728"/>
      <c r="J9" s="582"/>
      <c r="K9" s="582" t="e">
        <v>#N/A</v>
      </c>
      <c r="L9" s="728"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720" t="s">
        <v>488</v>
      </c>
      <c r="H10" s="720" t="s">
        <v>488</v>
      </c>
      <c r="I10" s="725"/>
      <c r="J10" s="614"/>
      <c r="K10" s="614"/>
      <c r="L10" s="725"/>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729"/>
      <c r="J11" s="588"/>
      <c r="K11" s="588"/>
      <c r="L11" s="729"/>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730"/>
      <c r="J12" s="615"/>
      <c r="K12" s="615"/>
      <c r="L12" s="730"/>
      <c r="M12" s="625"/>
      <c r="N12" s="615"/>
      <c r="O12"/>
      <c r="P12"/>
      <c r="Q12"/>
      <c r="R12"/>
      <c r="S12"/>
      <c r="T12"/>
      <c r="U12"/>
      <c r="V12"/>
      <c r="W12"/>
      <c r="X12"/>
      <c r="Y12"/>
      <c r="Z12"/>
      <c r="AA12"/>
    </row>
    <row r="13" spans="2:27" ht="16.95" customHeight="1">
      <c r="B13" s="476" t="s">
        <v>488</v>
      </c>
      <c r="C13" s="584" t="s">
        <v>489</v>
      </c>
      <c r="D13" s="584"/>
      <c r="E13" s="584"/>
      <c r="F13" s="584"/>
      <c r="G13" s="584"/>
      <c r="H13" s="584"/>
      <c r="I13" s="731"/>
      <c r="J13" s="616"/>
      <c r="K13" s="616"/>
      <c r="L13" s="731"/>
      <c r="M13" s="616"/>
      <c r="N13" s="616"/>
      <c r="O13"/>
      <c r="P13"/>
      <c r="Q13"/>
      <c r="R13"/>
      <c r="S13"/>
      <c r="T13"/>
      <c r="U13"/>
      <c r="V13"/>
      <c r="W13"/>
      <c r="X13"/>
      <c r="Y13"/>
      <c r="Z13"/>
      <c r="AA13"/>
    </row>
    <row r="14" spans="2:27" ht="16.95" customHeight="1">
      <c r="B14" s="567" t="s">
        <v>230</v>
      </c>
      <c r="C14" s="567"/>
      <c r="D14" s="567"/>
      <c r="E14" s="567"/>
      <c r="F14" s="567"/>
      <c r="G14" s="567"/>
      <c r="H14" s="567"/>
      <c r="I14" s="732"/>
      <c r="J14" s="583"/>
      <c r="K14" s="583" t="e">
        <v>#N/A</v>
      </c>
      <c r="L14" s="732"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sheetProtection algorithmName="SHA-512" hashValue="7poIUalzWZAdXmRBQ/AJ123qHYhWob0ZAZ/ofWk2sjQO6fTv2PUAoAh4nVJyhK+jfR0iTu7fiaUIO3EDHp60QQ==" saltValue="hpj7srwuoG4J9UDOB9AqhQ==" spinCount="100000" sheet="1" objects="1" scenarios="1"/>
  <mergeCells count="2">
    <mergeCell ref="B2:N2"/>
    <mergeCell ref="B3:N3"/>
  </mergeCells>
  <printOptions horizontalCentered="1"/>
  <pageMargins left="0.7" right="0.7" top="0.75" bottom="0.75" header="0.3" footer="0.3"/>
  <pageSetup scale="43"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30"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45">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720"/>
      <c r="K6" s="743"/>
      <c r="L6" s="341"/>
      <c r="M6" s="341"/>
      <c r="N6" s="721"/>
      <c r="O6" s="743"/>
      <c r="P6" s="341"/>
      <c r="Q6" s="360"/>
      <c r="R6" s="721"/>
      <c r="S6" s="341"/>
      <c r="T6" s="341"/>
      <c r="U6" s="341"/>
      <c r="V6" s="721"/>
      <c r="W6" s="721"/>
      <c r="X6"/>
      <c r="Y6"/>
    </row>
    <row r="7" spans="2:25" ht="19.2">
      <c r="B7" s="67"/>
      <c r="C7" s="4" t="s">
        <v>488</v>
      </c>
      <c r="D7" s="4"/>
      <c r="E7" s="4"/>
      <c r="F7" s="4"/>
      <c r="G7" s="4"/>
      <c r="H7" s="4"/>
      <c r="I7" s="4"/>
      <c r="J7" s="720"/>
      <c r="K7" s="743"/>
      <c r="L7" s="341"/>
      <c r="M7" s="341"/>
      <c r="N7" s="721"/>
      <c r="O7" s="743"/>
      <c r="P7" s="341"/>
      <c r="Q7" s="360"/>
      <c r="R7" s="721"/>
      <c r="S7" s="341"/>
      <c r="T7" s="341"/>
      <c r="U7" s="341"/>
      <c r="V7" s="721"/>
      <c r="W7" s="721"/>
      <c r="X7"/>
      <c r="Y7"/>
    </row>
    <row r="8" spans="2:25" ht="19.2">
      <c r="B8" s="67"/>
      <c r="D8" s="1" t="s">
        <v>488</v>
      </c>
      <c r="J8" s="720"/>
      <c r="K8" s="743"/>
      <c r="L8" s="341"/>
      <c r="M8" s="341"/>
      <c r="N8" s="721"/>
      <c r="O8" s="743"/>
      <c r="P8" s="341"/>
      <c r="Q8" s="360"/>
      <c r="R8" s="721"/>
      <c r="S8" s="341"/>
      <c r="T8" s="341"/>
      <c r="U8" s="341"/>
      <c r="V8" s="721"/>
      <c r="W8" s="721"/>
      <c r="X8"/>
      <c r="Y8"/>
    </row>
    <row r="9" spans="2:25" ht="19.2">
      <c r="B9" s="67"/>
      <c r="E9" s="1" t="s">
        <v>488</v>
      </c>
      <c r="J9" s="720"/>
      <c r="K9" s="743"/>
      <c r="L9" s="341"/>
      <c r="M9" s="341"/>
      <c r="N9" s="721"/>
      <c r="O9" s="743"/>
      <c r="P9" s="341"/>
      <c r="Q9" s="360"/>
      <c r="R9" s="721"/>
      <c r="S9" s="341"/>
      <c r="T9" s="341"/>
      <c r="U9" s="341"/>
      <c r="V9" s="721"/>
      <c r="W9" s="721"/>
      <c r="X9"/>
      <c r="Y9"/>
    </row>
    <row r="10" spans="2:25" ht="19.2">
      <c r="B10" s="67"/>
      <c r="F10" s="344" t="s">
        <v>488</v>
      </c>
      <c r="G10" s="344"/>
      <c r="H10" s="344"/>
      <c r="I10" s="344"/>
      <c r="J10" s="720"/>
      <c r="K10" s="743"/>
      <c r="L10" s="341"/>
      <c r="M10" s="341"/>
      <c r="N10" s="721"/>
      <c r="O10" s="743"/>
      <c r="P10" s="341"/>
      <c r="Q10" s="360"/>
      <c r="R10" s="721"/>
      <c r="S10" s="341"/>
      <c r="T10" s="341"/>
      <c r="U10" s="341"/>
      <c r="V10" s="721"/>
      <c r="W10" s="721"/>
      <c r="X10"/>
      <c r="Y10"/>
    </row>
    <row r="11" spans="2:25" ht="19.2">
      <c r="B11" s="67"/>
      <c r="G11" s="3" t="s">
        <v>488</v>
      </c>
      <c r="H11" s="3"/>
      <c r="I11" s="3"/>
      <c r="J11" s="720"/>
      <c r="K11" s="743"/>
      <c r="L11" s="341"/>
      <c r="M11" s="341"/>
      <c r="N11" s="721"/>
      <c r="O11" s="743"/>
      <c r="P11" s="341"/>
      <c r="Q11" s="360"/>
      <c r="R11" s="721"/>
      <c r="S11" s="341"/>
      <c r="T11" s="341"/>
      <c r="U11" s="341"/>
      <c r="V11" s="721"/>
      <c r="W11" s="721"/>
      <c r="X11"/>
      <c r="Y11"/>
    </row>
    <row r="12" spans="2:25" ht="19.2">
      <c r="B12" s="67"/>
      <c r="H12" s="345" t="s">
        <v>488</v>
      </c>
      <c r="I12" s="345"/>
      <c r="J12" s="720"/>
      <c r="K12" s="743"/>
      <c r="L12" s="341"/>
      <c r="M12" s="341"/>
      <c r="N12" s="721"/>
      <c r="O12" s="743"/>
      <c r="P12" s="341"/>
      <c r="Q12" s="360"/>
      <c r="R12" s="721"/>
      <c r="S12" s="341"/>
      <c r="T12" s="341"/>
      <c r="U12" s="341"/>
      <c r="V12" s="721"/>
      <c r="W12" s="721"/>
      <c r="X12"/>
      <c r="Y12"/>
    </row>
    <row r="13" spans="2:25" ht="19.2">
      <c r="B13" s="67"/>
      <c r="I13" s="3" t="s">
        <v>488</v>
      </c>
      <c r="J13" s="720"/>
      <c r="K13" s="743"/>
      <c r="L13" s="341">
        <v>0</v>
      </c>
      <c r="M13" s="341">
        <v>0</v>
      </c>
      <c r="N13" s="721">
        <v>0</v>
      </c>
      <c r="O13" s="743"/>
      <c r="P13" s="341">
        <v>0</v>
      </c>
      <c r="Q13" s="360">
        <v>0</v>
      </c>
      <c r="R13" s="721">
        <v>0</v>
      </c>
      <c r="S13" s="341">
        <v>0</v>
      </c>
      <c r="T13" s="341">
        <v>0</v>
      </c>
      <c r="U13" s="341">
        <v>0</v>
      </c>
      <c r="V13" s="721">
        <v>0</v>
      </c>
      <c r="W13" s="721">
        <v>0</v>
      </c>
      <c r="X13"/>
      <c r="Y13"/>
    </row>
    <row r="14" spans="2:25" ht="19.2">
      <c r="J14" s="720"/>
      <c r="K14" s="743"/>
      <c r="L14" s="341"/>
      <c r="M14" s="341"/>
      <c r="N14" s="721"/>
      <c r="O14" s="743"/>
      <c r="P14" s="341"/>
      <c r="Q14" s="360"/>
      <c r="R14" s="721"/>
      <c r="S14" s="341"/>
      <c r="T14" s="341"/>
      <c r="U14" s="341"/>
      <c r="V14" s="721"/>
      <c r="W14" s="721"/>
      <c r="X14"/>
      <c r="Y14"/>
    </row>
    <row r="15" spans="2:25" ht="19.2">
      <c r="B15" s="67"/>
      <c r="E15" s="131" t="s">
        <v>489</v>
      </c>
      <c r="F15" s="131"/>
      <c r="G15" s="131"/>
      <c r="H15" s="131"/>
      <c r="I15" s="131"/>
      <c r="J15" s="744"/>
      <c r="K15" s="745"/>
      <c r="L15" s="366">
        <v>0</v>
      </c>
      <c r="M15" s="374">
        <v>0</v>
      </c>
      <c r="N15" s="734">
        <v>0</v>
      </c>
      <c r="O15" s="745"/>
      <c r="P15" s="366">
        <v>0</v>
      </c>
      <c r="Q15" s="374">
        <v>0</v>
      </c>
      <c r="R15" s="734">
        <v>0</v>
      </c>
      <c r="S15" s="366">
        <v>0</v>
      </c>
      <c r="T15" s="366">
        <v>0</v>
      </c>
      <c r="U15" s="366">
        <v>0</v>
      </c>
      <c r="V15" s="734">
        <v>0</v>
      </c>
      <c r="W15" s="734">
        <v>0</v>
      </c>
      <c r="X15"/>
      <c r="Y15"/>
    </row>
    <row r="16" spans="2:25" ht="19.2">
      <c r="J16" s="720"/>
      <c r="K16" s="743"/>
      <c r="L16" s="341"/>
      <c r="M16" s="341"/>
      <c r="N16" s="721"/>
      <c r="O16" s="743"/>
      <c r="P16" s="341"/>
      <c r="Q16" s="360"/>
      <c r="R16" s="721"/>
      <c r="S16" s="341"/>
      <c r="T16" s="341"/>
      <c r="U16" s="341"/>
      <c r="V16" s="721"/>
      <c r="W16" s="721"/>
      <c r="X16"/>
      <c r="Y16"/>
    </row>
    <row r="17" spans="2:25" ht="19.2">
      <c r="B17" s="67"/>
      <c r="D17" s="361" t="s">
        <v>489</v>
      </c>
      <c r="E17" s="361"/>
      <c r="F17" s="361"/>
      <c r="G17" s="361"/>
      <c r="H17" s="361"/>
      <c r="I17" s="361"/>
      <c r="J17" s="746"/>
      <c r="K17" s="747"/>
      <c r="L17" s="367">
        <v>0</v>
      </c>
      <c r="M17" s="367">
        <v>0</v>
      </c>
      <c r="N17" s="748">
        <v>0</v>
      </c>
      <c r="O17" s="747"/>
      <c r="P17" s="367">
        <v>0</v>
      </c>
      <c r="Q17" s="373">
        <v>0</v>
      </c>
      <c r="R17" s="748">
        <v>0</v>
      </c>
      <c r="S17" s="367">
        <v>0</v>
      </c>
      <c r="T17" s="367">
        <v>0</v>
      </c>
      <c r="U17" s="367">
        <v>0</v>
      </c>
      <c r="V17" s="748">
        <v>0</v>
      </c>
      <c r="W17" s="748">
        <v>0</v>
      </c>
      <c r="X17"/>
      <c r="Y17"/>
    </row>
    <row r="18" spans="2:25" ht="19.2">
      <c r="J18" s="720"/>
      <c r="K18" s="743"/>
      <c r="L18" s="341"/>
      <c r="M18" s="341"/>
      <c r="N18" s="721"/>
      <c r="O18" s="743"/>
      <c r="P18" s="341"/>
      <c r="Q18" s="360"/>
      <c r="R18" s="721"/>
      <c r="S18" s="341"/>
      <c r="T18" s="341"/>
      <c r="U18" s="341"/>
      <c r="V18" s="721"/>
      <c r="W18" s="721"/>
      <c r="X18"/>
      <c r="Y18"/>
    </row>
    <row r="19" spans="2:25" ht="19.2">
      <c r="B19" s="67"/>
      <c r="C19" s="347" t="s">
        <v>489</v>
      </c>
      <c r="D19" s="347"/>
      <c r="E19" s="347"/>
      <c r="F19" s="347"/>
      <c r="G19" s="347"/>
      <c r="H19" s="347"/>
      <c r="I19" s="347"/>
      <c r="J19" s="749"/>
      <c r="K19" s="750"/>
      <c r="L19" s="368">
        <v>0</v>
      </c>
      <c r="M19" s="368">
        <v>0</v>
      </c>
      <c r="N19" s="723">
        <v>0</v>
      </c>
      <c r="O19" s="750"/>
      <c r="P19" s="368">
        <v>0</v>
      </c>
      <c r="Q19" s="372">
        <v>0</v>
      </c>
      <c r="R19" s="723">
        <v>0</v>
      </c>
      <c r="S19" s="368">
        <v>0</v>
      </c>
      <c r="T19" s="368">
        <v>0</v>
      </c>
      <c r="U19" s="368">
        <v>0</v>
      </c>
      <c r="V19" s="723">
        <v>0</v>
      </c>
      <c r="W19" s="723">
        <v>0</v>
      </c>
      <c r="X19"/>
      <c r="Y19"/>
    </row>
    <row r="20" spans="2:25" ht="19.2">
      <c r="J20" s="720"/>
      <c r="K20" s="743"/>
      <c r="L20" s="341"/>
      <c r="M20" s="341"/>
      <c r="N20" s="721"/>
      <c r="O20" s="743"/>
      <c r="P20" s="341"/>
      <c r="Q20" s="360"/>
      <c r="R20" s="721"/>
      <c r="S20" s="341"/>
      <c r="T20" s="341"/>
      <c r="U20" s="341"/>
      <c r="V20" s="721"/>
      <c r="W20" s="721"/>
      <c r="X20"/>
      <c r="Y20"/>
    </row>
    <row r="21" spans="2:25" ht="19.2">
      <c r="B21" s="348" t="s">
        <v>490</v>
      </c>
      <c r="C21" s="348"/>
      <c r="D21" s="348"/>
      <c r="E21" s="348"/>
      <c r="F21" s="348"/>
      <c r="G21" s="348"/>
      <c r="H21" s="348"/>
      <c r="I21" s="348"/>
      <c r="J21" s="751"/>
      <c r="K21" s="752"/>
      <c r="L21" s="369">
        <v>0</v>
      </c>
      <c r="M21" s="369">
        <v>0</v>
      </c>
      <c r="N21" s="724">
        <v>0</v>
      </c>
      <c r="O21" s="752"/>
      <c r="P21" s="369">
        <v>0</v>
      </c>
      <c r="Q21" s="371">
        <v>0</v>
      </c>
      <c r="R21" s="724">
        <v>0</v>
      </c>
      <c r="S21" s="369">
        <v>0</v>
      </c>
      <c r="T21" s="369">
        <v>0</v>
      </c>
      <c r="U21" s="369">
        <v>0</v>
      </c>
      <c r="V21" s="724">
        <v>0</v>
      </c>
      <c r="W21" s="724">
        <v>0</v>
      </c>
      <c r="X21"/>
      <c r="Y21"/>
    </row>
    <row r="22" spans="2:25" ht="19.2">
      <c r="J22" s="720"/>
      <c r="K22" s="743"/>
      <c r="L22" s="341"/>
      <c r="M22" s="341"/>
      <c r="N22" s="721"/>
      <c r="O22" s="743"/>
      <c r="P22" s="341"/>
      <c r="Q22" s="360"/>
      <c r="R22" s="721"/>
      <c r="S22" s="341"/>
      <c r="T22" s="341"/>
      <c r="U22" s="341"/>
      <c r="V22" s="721"/>
      <c r="W22" s="721"/>
      <c r="X22"/>
      <c r="Y22"/>
    </row>
    <row r="23" spans="2:25" ht="19.2">
      <c r="B23" s="132" t="s">
        <v>230</v>
      </c>
      <c r="C23" s="132"/>
      <c r="D23" s="132"/>
      <c r="E23" s="132"/>
      <c r="F23" s="132"/>
      <c r="G23" s="132"/>
      <c r="H23" s="132"/>
      <c r="I23" s="132"/>
      <c r="J23" s="753"/>
      <c r="K23" s="754"/>
      <c r="L23" s="365">
        <v>0</v>
      </c>
      <c r="M23" s="553">
        <v>0</v>
      </c>
      <c r="N23" s="755">
        <v>0</v>
      </c>
      <c r="O23" s="754"/>
      <c r="P23" s="365">
        <v>0</v>
      </c>
      <c r="Q23" s="370">
        <v>0</v>
      </c>
      <c r="R23" s="755">
        <v>0</v>
      </c>
      <c r="S23" s="365">
        <v>0</v>
      </c>
      <c r="T23" s="365">
        <v>0</v>
      </c>
      <c r="U23" s="365">
        <v>0</v>
      </c>
      <c r="V23" s="755">
        <v>0</v>
      </c>
      <c r="W23" s="755">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Sv/Htgx9YKpnV982/pLQDyF05B8CQUAMFAYda1anSXEagIWlDHmW40Kh9r8/8HAfawjngZq3AsF2GOn1Qr4Tg==" saltValue="kzcURfc2x5tkB6KW0J3rYg=="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661" t="s">
        <v>493</v>
      </c>
      <c r="C2" s="661"/>
      <c r="D2" s="661"/>
      <c r="E2" s="661"/>
      <c r="F2" s="661"/>
      <c r="G2" s="661"/>
      <c r="H2" s="661"/>
      <c r="I2" s="661"/>
      <c r="J2" s="661"/>
      <c r="K2" s="661"/>
      <c r="L2" s="661"/>
      <c r="M2" s="661"/>
      <c r="N2" s="661"/>
      <c r="O2" s="661"/>
      <c r="P2" s="661"/>
      <c r="Q2" s="661"/>
      <c r="R2" s="661"/>
      <c r="S2" s="661"/>
      <c r="T2" s="661"/>
      <c r="U2" s="661"/>
      <c r="V2" s="661"/>
      <c r="W2" s="661"/>
      <c r="X2" s="661"/>
      <c r="Y2" s="661"/>
      <c r="Z2" s="124"/>
    </row>
    <row r="3" spans="2:27" ht="22.95" customHeight="1">
      <c r="B3" s="662" t="s">
        <v>456</v>
      </c>
      <c r="C3" s="662"/>
      <c r="D3" s="662"/>
      <c r="E3" s="662"/>
      <c r="F3" s="662"/>
      <c r="G3" s="662"/>
      <c r="H3" s="662"/>
      <c r="I3" s="662"/>
      <c r="J3" s="662"/>
      <c r="K3" s="662"/>
      <c r="L3" s="662"/>
      <c r="M3" s="662"/>
      <c r="N3" s="662"/>
      <c r="O3" s="662"/>
      <c r="P3" s="662"/>
      <c r="Q3" s="662"/>
      <c r="R3" s="662"/>
      <c r="S3" s="662"/>
      <c r="T3" s="662"/>
      <c r="U3" s="662"/>
      <c r="V3" s="662"/>
      <c r="W3" s="662"/>
      <c r="X3" s="662"/>
      <c r="Y3" s="662"/>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721"/>
      <c r="N6" s="340"/>
      <c r="O6" s="341"/>
      <c r="P6" s="742"/>
      <c r="Q6" s="341"/>
      <c r="R6" s="341"/>
      <c r="S6" s="342"/>
      <c r="T6" s="742"/>
      <c r="U6" s="617"/>
      <c r="V6" s="343"/>
      <c r="W6" s="341"/>
      <c r="X6" s="343"/>
      <c r="Y6" s="343"/>
      <c r="Z6"/>
      <c r="AA6"/>
    </row>
    <row r="7" spans="2:27" ht="19.2">
      <c r="B7" s="476"/>
      <c r="C7" s="67">
        <v>0</v>
      </c>
      <c r="D7" s="67"/>
      <c r="E7" s="67"/>
      <c r="F7" s="67"/>
      <c r="G7" s="67"/>
      <c r="H7" s="67"/>
      <c r="I7" s="67"/>
      <c r="J7" s="67"/>
      <c r="K7" s="67"/>
      <c r="L7" s="67"/>
      <c r="M7" s="721"/>
      <c r="N7" s="340"/>
      <c r="O7" s="341"/>
      <c r="P7" s="742"/>
      <c r="Q7" s="341"/>
      <c r="R7" s="341"/>
      <c r="S7" s="342"/>
      <c r="T7" s="742"/>
      <c r="U7" s="617"/>
      <c r="V7" s="343"/>
      <c r="W7" s="341"/>
      <c r="X7" s="343"/>
      <c r="Y7" s="343"/>
      <c r="Z7"/>
      <c r="AA7"/>
    </row>
    <row r="8" spans="2:27" ht="19.2">
      <c r="B8" s="476"/>
      <c r="C8" s="735"/>
      <c r="D8" s="1" t="s">
        <v>488</v>
      </c>
      <c r="M8" s="721"/>
      <c r="N8" s="340"/>
      <c r="O8" s="341"/>
      <c r="P8" s="742"/>
      <c r="Q8" s="341"/>
      <c r="R8" s="341"/>
      <c r="S8" s="342"/>
      <c r="T8" s="742"/>
      <c r="U8" s="617"/>
      <c r="V8" s="343"/>
      <c r="W8" s="341"/>
      <c r="X8" s="343"/>
      <c r="Y8" s="343"/>
      <c r="Z8"/>
      <c r="AA8"/>
    </row>
    <row r="9" spans="2:27" ht="19.2">
      <c r="B9" s="476"/>
      <c r="C9" s="735"/>
      <c r="E9" s="3" t="s">
        <v>488</v>
      </c>
      <c r="F9" s="3"/>
      <c r="G9" s="3"/>
      <c r="H9" s="3"/>
      <c r="I9" s="3"/>
      <c r="J9" s="3"/>
      <c r="K9" s="3"/>
      <c r="L9" s="3"/>
      <c r="M9" s="721"/>
      <c r="N9" s="340"/>
      <c r="O9" s="341"/>
      <c r="P9" s="742"/>
      <c r="Q9" s="341"/>
      <c r="R9" s="341"/>
      <c r="S9" s="342"/>
      <c r="T9" s="742"/>
      <c r="U9" s="617"/>
      <c r="V9" s="343"/>
      <c r="W9" s="341"/>
      <c r="X9" s="343"/>
      <c r="Y9" s="343"/>
      <c r="Z9"/>
      <c r="AA9"/>
    </row>
    <row r="10" spans="2:27" ht="19.2">
      <c r="B10" s="476"/>
      <c r="C10" s="735"/>
      <c r="F10" s="1" t="s">
        <v>488</v>
      </c>
      <c r="M10" s="721"/>
      <c r="N10" s="340"/>
      <c r="O10" s="341"/>
      <c r="P10" s="742"/>
      <c r="Q10" s="341"/>
      <c r="R10" s="341"/>
      <c r="S10" s="342"/>
      <c r="T10" s="742"/>
      <c r="U10" s="617"/>
      <c r="V10" s="343"/>
      <c r="W10" s="341"/>
      <c r="X10" s="343"/>
      <c r="Y10" s="343"/>
      <c r="Z10"/>
      <c r="AA10"/>
    </row>
    <row r="11" spans="2:27" ht="19.2">
      <c r="B11" s="476"/>
      <c r="C11" s="735"/>
      <c r="G11" s="720" t="s">
        <v>488</v>
      </c>
      <c r="H11" s="720"/>
      <c r="I11" s="720"/>
      <c r="J11" s="720"/>
      <c r="K11" s="720"/>
      <c r="L11" s="720"/>
      <c r="M11" s="721"/>
      <c r="N11" s="340"/>
      <c r="O11" s="341"/>
      <c r="P11" s="742"/>
      <c r="Q11" s="341"/>
      <c r="R11" s="341"/>
      <c r="S11" s="342"/>
      <c r="T11" s="742"/>
      <c r="U11" s="617"/>
      <c r="V11" s="343"/>
      <c r="W11" s="341"/>
      <c r="X11" s="343"/>
      <c r="Y11" s="343"/>
      <c r="Z11"/>
      <c r="AA11"/>
    </row>
    <row r="12" spans="2:27" ht="19.2">
      <c r="B12" s="476"/>
      <c r="C12" s="735"/>
      <c r="H12" s="3" t="s">
        <v>488</v>
      </c>
      <c r="I12" s="3"/>
      <c r="J12" s="3"/>
      <c r="K12" s="3"/>
      <c r="L12" s="3"/>
      <c r="M12" s="721"/>
      <c r="N12" s="340"/>
      <c r="O12" s="341"/>
      <c r="P12" s="742"/>
      <c r="Q12" s="341"/>
      <c r="R12" s="341"/>
      <c r="S12" s="342"/>
      <c r="T12" s="742"/>
      <c r="U12" s="617"/>
      <c r="V12" s="343"/>
      <c r="W12" s="341"/>
      <c r="X12" s="343"/>
      <c r="Y12" s="343"/>
      <c r="Z12"/>
      <c r="AA12"/>
    </row>
    <row r="13" spans="2:27" ht="19.2">
      <c r="B13" s="476"/>
      <c r="C13" s="735"/>
      <c r="I13" s="344" t="s">
        <v>488</v>
      </c>
      <c r="J13" s="344"/>
      <c r="K13" s="344"/>
      <c r="L13" s="344"/>
      <c r="M13" s="721"/>
      <c r="N13" s="340"/>
      <c r="O13" s="341"/>
      <c r="P13" s="742"/>
      <c r="Q13" s="341"/>
      <c r="R13" s="341"/>
      <c r="S13" s="342"/>
      <c r="T13" s="742"/>
      <c r="U13" s="617"/>
      <c r="V13" s="343"/>
      <c r="W13" s="341"/>
      <c r="X13" s="343"/>
      <c r="Y13" s="343"/>
      <c r="Z13"/>
      <c r="AA13"/>
    </row>
    <row r="14" spans="2:27" ht="19.2">
      <c r="B14" s="476"/>
      <c r="C14" s="735"/>
      <c r="J14" s="345" t="s">
        <v>488</v>
      </c>
      <c r="K14" s="345"/>
      <c r="L14" s="345"/>
      <c r="M14" s="721"/>
      <c r="N14" s="340"/>
      <c r="O14" s="341"/>
      <c r="P14" s="742"/>
      <c r="Q14" s="341"/>
      <c r="R14" s="341"/>
      <c r="S14" s="342"/>
      <c r="T14" s="742"/>
      <c r="U14" s="617"/>
      <c r="V14" s="343"/>
      <c r="W14" s="341"/>
      <c r="X14" s="343"/>
      <c r="Y14" s="343"/>
      <c r="Z14"/>
      <c r="AA14"/>
    </row>
    <row r="15" spans="2:27" ht="19.2">
      <c r="B15" s="476"/>
      <c r="C15" s="735"/>
      <c r="K15" s="3" t="s">
        <v>488</v>
      </c>
      <c r="L15" s="3"/>
      <c r="M15" s="721"/>
      <c r="N15" s="340"/>
      <c r="O15" s="341"/>
      <c r="P15" s="742"/>
      <c r="Q15" s="341"/>
      <c r="R15" s="341"/>
      <c r="S15" s="342"/>
      <c r="T15" s="742"/>
      <c r="U15" s="617"/>
      <c r="V15" s="343"/>
      <c r="W15" s="341"/>
      <c r="X15" s="343"/>
      <c r="Y15" s="343"/>
      <c r="Z15"/>
      <c r="AA15"/>
    </row>
    <row r="16" spans="2:27" ht="19.2">
      <c r="B16" s="476"/>
      <c r="C16" s="735"/>
      <c r="L16" s="720" t="s">
        <v>488</v>
      </c>
      <c r="M16" s="721"/>
      <c r="N16" s="340" t="e">
        <v>#N/A</v>
      </c>
      <c r="O16" s="341">
        <v>0</v>
      </c>
      <c r="P16" s="742" t="e">
        <v>#N/A</v>
      </c>
      <c r="Q16" s="341">
        <v>0</v>
      </c>
      <c r="R16" s="341">
        <v>0</v>
      </c>
      <c r="S16" s="342">
        <v>0</v>
      </c>
      <c r="T16" s="742" t="e">
        <v>#N/A</v>
      </c>
      <c r="U16" s="617"/>
      <c r="V16" s="343">
        <v>0</v>
      </c>
      <c r="W16" s="341">
        <v>0</v>
      </c>
      <c r="X16" s="343">
        <v>0</v>
      </c>
      <c r="Y16" s="343">
        <v>0</v>
      </c>
      <c r="Z16"/>
      <c r="AA16"/>
    </row>
    <row r="17" spans="2:27" ht="19.2">
      <c r="M17" s="721"/>
      <c r="N17" s="340"/>
      <c r="O17" s="341"/>
      <c r="P17" s="742"/>
      <c r="Q17" s="341"/>
      <c r="R17" s="341"/>
      <c r="S17" s="342"/>
      <c r="T17" s="742"/>
      <c r="U17" s="617"/>
      <c r="V17" s="343"/>
      <c r="W17" s="341"/>
      <c r="X17" s="343"/>
      <c r="Y17" s="343"/>
      <c r="Z17"/>
      <c r="AA17"/>
    </row>
    <row r="18" spans="2:27" ht="19.2">
      <c r="B18" s="476"/>
      <c r="C18" s="735"/>
      <c r="F18" s="589" t="s">
        <v>489</v>
      </c>
      <c r="G18" s="589"/>
      <c r="H18" s="589"/>
      <c r="I18" s="589"/>
      <c r="J18" s="589"/>
      <c r="K18" s="589"/>
      <c r="L18" s="589"/>
      <c r="M18" s="736"/>
      <c r="N18" s="590" t="e">
        <v>#N/A</v>
      </c>
      <c r="O18" s="591">
        <v>0</v>
      </c>
      <c r="P18" s="738" t="e">
        <v>#N/A</v>
      </c>
      <c r="Q18" s="591">
        <v>0</v>
      </c>
      <c r="R18" s="591">
        <v>0</v>
      </c>
      <c r="S18" s="592">
        <v>0</v>
      </c>
      <c r="T18" s="738" t="e">
        <v>#N/A</v>
      </c>
      <c r="U18" s="618"/>
      <c r="V18" s="593">
        <v>0</v>
      </c>
      <c r="W18" s="591">
        <v>0</v>
      </c>
      <c r="X18" s="594">
        <v>0</v>
      </c>
      <c r="Y18" s="594">
        <v>0</v>
      </c>
      <c r="Z18"/>
      <c r="AA18"/>
    </row>
    <row r="19" spans="2:27" ht="19.2">
      <c r="M19" s="721"/>
      <c r="N19" s="340"/>
      <c r="O19" s="341"/>
      <c r="P19" s="742"/>
      <c r="Q19" s="341"/>
      <c r="R19" s="341"/>
      <c r="S19" s="342"/>
      <c r="T19" s="742"/>
      <c r="U19" s="617"/>
      <c r="V19" s="343"/>
      <c r="W19" s="341"/>
      <c r="X19" s="343"/>
      <c r="Y19" s="343"/>
      <c r="Z19"/>
      <c r="AA19"/>
    </row>
    <row r="20" spans="2:27" ht="19.2">
      <c r="B20" s="476"/>
      <c r="C20" s="735"/>
      <c r="E20" s="92" t="s">
        <v>489</v>
      </c>
      <c r="F20" s="92"/>
      <c r="G20" s="92"/>
      <c r="H20" s="92"/>
      <c r="I20" s="92"/>
      <c r="J20" s="92"/>
      <c r="K20" s="92"/>
      <c r="L20" s="92"/>
      <c r="M20" s="722"/>
      <c r="N20" s="378" t="e">
        <v>#N/A</v>
      </c>
      <c r="O20" s="376">
        <v>0</v>
      </c>
      <c r="P20" s="739" t="e">
        <v>#N/A</v>
      </c>
      <c r="Q20" s="376">
        <v>0</v>
      </c>
      <c r="R20" s="376">
        <v>0</v>
      </c>
      <c r="S20" s="377">
        <v>0</v>
      </c>
      <c r="T20" s="739" t="e">
        <v>#N/A</v>
      </c>
      <c r="U20" s="619"/>
      <c r="V20" s="375">
        <v>0</v>
      </c>
      <c r="W20" s="376">
        <v>0</v>
      </c>
      <c r="X20" s="346">
        <v>0</v>
      </c>
      <c r="Y20" s="346">
        <v>0</v>
      </c>
      <c r="Z20"/>
      <c r="AA20"/>
    </row>
    <row r="21" spans="2:27" ht="19.2">
      <c r="M21" s="721"/>
      <c r="N21" s="340"/>
      <c r="O21" s="341"/>
      <c r="P21" s="742"/>
      <c r="Q21" s="341"/>
      <c r="R21" s="341"/>
      <c r="S21" s="342"/>
      <c r="T21" s="742"/>
      <c r="U21" s="617"/>
      <c r="V21" s="343"/>
      <c r="W21" s="341"/>
      <c r="X21" s="343"/>
      <c r="Y21" s="343"/>
      <c r="Z21"/>
      <c r="AA21"/>
    </row>
    <row r="22" spans="2:27" ht="19.2">
      <c r="B22" s="476"/>
      <c r="C22" s="735"/>
      <c r="D22" s="597" t="s">
        <v>489</v>
      </c>
      <c r="E22" s="597"/>
      <c r="F22" s="597"/>
      <c r="G22" s="597"/>
      <c r="H22" s="597"/>
      <c r="I22" s="597"/>
      <c r="J22" s="597"/>
      <c r="K22" s="597"/>
      <c r="L22" s="597"/>
      <c r="M22" s="726"/>
      <c r="N22" s="598" t="e">
        <v>#N/A</v>
      </c>
      <c r="O22" s="599">
        <v>0</v>
      </c>
      <c r="P22" s="740" t="e">
        <v>#N/A</v>
      </c>
      <c r="Q22" s="599">
        <v>0</v>
      </c>
      <c r="R22" s="599">
        <v>0</v>
      </c>
      <c r="S22" s="600">
        <v>0</v>
      </c>
      <c r="T22" s="740" t="e">
        <v>#N/A</v>
      </c>
      <c r="U22" s="620"/>
      <c r="V22" s="602">
        <v>0</v>
      </c>
      <c r="W22" s="599">
        <v>0</v>
      </c>
      <c r="X22" s="601">
        <v>0</v>
      </c>
      <c r="Y22" s="601">
        <v>0</v>
      </c>
      <c r="Z22"/>
      <c r="AA22"/>
    </row>
    <row r="23" spans="2:27" ht="19.2">
      <c r="M23" s="721"/>
      <c r="N23" s="340"/>
      <c r="O23" s="341"/>
      <c r="P23" s="742"/>
      <c r="Q23" s="341"/>
      <c r="R23" s="341"/>
      <c r="S23" s="342"/>
      <c r="T23" s="742"/>
      <c r="U23" s="617"/>
      <c r="V23" s="343"/>
      <c r="W23" s="341"/>
      <c r="X23" s="343"/>
      <c r="Y23" s="343"/>
      <c r="Z23"/>
      <c r="AA23"/>
    </row>
    <row r="24" spans="2:27" ht="19.2">
      <c r="B24" s="476"/>
      <c r="C24" s="584" t="s">
        <v>490</v>
      </c>
      <c r="D24" s="584"/>
      <c r="E24" s="584"/>
      <c r="F24" s="584"/>
      <c r="G24" s="584"/>
      <c r="H24" s="584"/>
      <c r="I24" s="584"/>
      <c r="J24" s="584"/>
      <c r="K24" s="584"/>
      <c r="L24" s="584"/>
      <c r="M24" s="727"/>
      <c r="N24" s="603" t="e">
        <v>#N/A</v>
      </c>
      <c r="O24" s="604">
        <v>0</v>
      </c>
      <c r="P24" s="731" t="e">
        <v>#N/A</v>
      </c>
      <c r="Q24" s="604">
        <v>0</v>
      </c>
      <c r="R24" s="604">
        <v>0</v>
      </c>
      <c r="S24" s="605">
        <v>0</v>
      </c>
      <c r="T24" s="731" t="e">
        <v>#N/A</v>
      </c>
      <c r="U24" s="616"/>
      <c r="V24" s="606">
        <v>0</v>
      </c>
      <c r="W24" s="604">
        <v>0</v>
      </c>
      <c r="X24" s="585">
        <v>0</v>
      </c>
      <c r="Y24" s="585">
        <v>0</v>
      </c>
      <c r="Z24"/>
      <c r="AA24"/>
    </row>
    <row r="25" spans="2:27" ht="19.2">
      <c r="M25" s="721"/>
      <c r="N25" s="340"/>
      <c r="O25" s="341"/>
      <c r="P25" s="742"/>
      <c r="Q25" s="341"/>
      <c r="R25" s="341"/>
      <c r="S25" s="342"/>
      <c r="T25" s="742"/>
      <c r="U25" s="617"/>
      <c r="V25" s="343"/>
      <c r="W25" s="341"/>
      <c r="X25" s="343"/>
      <c r="Y25" s="343"/>
      <c r="Z25"/>
      <c r="AA25"/>
    </row>
    <row r="26" spans="2:27" ht="19.2">
      <c r="B26" s="476" t="s">
        <v>488</v>
      </c>
      <c r="C26" s="476"/>
      <c r="D26" s="476"/>
      <c r="E26" s="476"/>
      <c r="F26" s="476"/>
      <c r="G26" s="476"/>
      <c r="H26" s="476"/>
      <c r="I26" s="476"/>
      <c r="J26" s="476"/>
      <c r="K26" s="476"/>
      <c r="L26" s="476"/>
      <c r="M26" s="721"/>
      <c r="N26" s="340"/>
      <c r="O26" s="341"/>
      <c r="P26" s="742"/>
      <c r="Q26" s="341"/>
      <c r="R26" s="341"/>
      <c r="S26" s="342"/>
      <c r="T26" s="742"/>
      <c r="U26" s="617"/>
      <c r="V26" s="343"/>
      <c r="W26" s="341"/>
      <c r="X26" s="343"/>
      <c r="Y26" s="343"/>
      <c r="Z26"/>
      <c r="AA26"/>
    </row>
    <row r="27" spans="2:27" ht="19.2">
      <c r="C27" s="67" t="s">
        <v>488</v>
      </c>
      <c r="D27" s="67"/>
      <c r="E27" s="67"/>
      <c r="F27" s="67"/>
      <c r="G27" s="67"/>
      <c r="H27" s="67"/>
      <c r="I27" s="67"/>
      <c r="J27" s="67"/>
      <c r="K27" s="67"/>
      <c r="L27" s="67"/>
      <c r="M27" s="721"/>
      <c r="N27" s="340"/>
      <c r="O27" s="341"/>
      <c r="P27" s="742"/>
      <c r="Q27" s="341"/>
      <c r="R27" s="341"/>
      <c r="S27" s="342"/>
      <c r="T27" s="742"/>
      <c r="U27" s="617"/>
      <c r="V27" s="343"/>
      <c r="W27" s="341"/>
      <c r="X27" s="343"/>
      <c r="Y27" s="343"/>
      <c r="Z27"/>
      <c r="AA27"/>
    </row>
    <row r="28" spans="2:27" ht="19.2">
      <c r="C28" s="735"/>
      <c r="D28" s="1" t="s">
        <v>488</v>
      </c>
      <c r="M28" s="721"/>
      <c r="N28" s="340"/>
      <c r="O28" s="341"/>
      <c r="P28" s="742"/>
      <c r="Q28" s="341"/>
      <c r="R28" s="341"/>
      <c r="S28" s="342"/>
      <c r="T28" s="742"/>
      <c r="U28" s="617"/>
      <c r="V28" s="343"/>
      <c r="W28" s="341"/>
      <c r="X28" s="343"/>
      <c r="Y28" s="343"/>
      <c r="Z28"/>
      <c r="AA28"/>
    </row>
    <row r="29" spans="2:27" ht="19.2">
      <c r="C29" s="735"/>
      <c r="E29" s="3" t="s">
        <v>488</v>
      </c>
      <c r="F29" s="3"/>
      <c r="G29" s="3"/>
      <c r="H29" s="3"/>
      <c r="I29" s="3"/>
      <c r="J29" s="3"/>
      <c r="K29" s="3"/>
      <c r="L29" s="3"/>
      <c r="M29" s="721"/>
      <c r="N29" s="340"/>
      <c r="O29" s="341"/>
      <c r="P29" s="742"/>
      <c r="Q29" s="341"/>
      <c r="R29" s="341"/>
      <c r="S29" s="342"/>
      <c r="T29" s="742"/>
      <c r="U29" s="617"/>
      <c r="V29" s="343"/>
      <c r="W29" s="341"/>
      <c r="X29" s="343"/>
      <c r="Y29" s="343"/>
      <c r="Z29"/>
      <c r="AA29"/>
    </row>
    <row r="30" spans="2:27" ht="19.2">
      <c r="C30" s="735"/>
      <c r="F30" s="1" t="s">
        <v>488</v>
      </c>
      <c r="M30" s="721"/>
      <c r="N30" s="340"/>
      <c r="O30" s="341"/>
      <c r="P30" s="742"/>
      <c r="Q30" s="341"/>
      <c r="R30" s="341"/>
      <c r="S30" s="342"/>
      <c r="T30" s="742"/>
      <c r="U30" s="617"/>
      <c r="V30" s="343"/>
      <c r="W30" s="341"/>
      <c r="X30" s="343"/>
      <c r="Y30" s="343"/>
      <c r="Z30"/>
      <c r="AA30"/>
    </row>
    <row r="31" spans="2:27" ht="19.2">
      <c r="C31" s="735"/>
      <c r="G31" s="720" t="s">
        <v>488</v>
      </c>
      <c r="H31" s="720"/>
      <c r="I31" s="720"/>
      <c r="J31" s="720"/>
      <c r="K31" s="720"/>
      <c r="L31" s="720"/>
      <c r="M31" s="721"/>
      <c r="N31" s="340"/>
      <c r="O31" s="341"/>
      <c r="P31" s="742"/>
      <c r="Q31" s="341"/>
      <c r="R31" s="341"/>
      <c r="S31" s="342"/>
      <c r="T31" s="742"/>
      <c r="U31" s="617"/>
      <c r="V31" s="343"/>
      <c r="W31" s="341"/>
      <c r="X31" s="343"/>
      <c r="Y31" s="343"/>
      <c r="Z31"/>
      <c r="AA31"/>
    </row>
    <row r="32" spans="2:27" ht="19.2">
      <c r="C32" s="735"/>
      <c r="H32" s="3" t="s">
        <v>488</v>
      </c>
      <c r="I32" s="3"/>
      <c r="J32" s="3"/>
      <c r="K32" s="3"/>
      <c r="L32" s="3"/>
      <c r="M32" s="721"/>
      <c r="N32" s="340"/>
      <c r="O32" s="341"/>
      <c r="P32" s="742"/>
      <c r="Q32" s="341"/>
      <c r="R32" s="341"/>
      <c r="S32" s="342"/>
      <c r="T32" s="742"/>
      <c r="U32" s="617"/>
      <c r="V32" s="343"/>
      <c r="W32" s="341"/>
      <c r="X32" s="343"/>
      <c r="Y32" s="343"/>
      <c r="Z32"/>
      <c r="AA32"/>
    </row>
    <row r="33" spans="2:27" ht="19.2">
      <c r="C33" s="735"/>
      <c r="I33" s="344" t="s">
        <v>488</v>
      </c>
      <c r="J33" s="344"/>
      <c r="K33" s="344"/>
      <c r="L33" s="344"/>
      <c r="M33" s="721"/>
      <c r="N33" s="340"/>
      <c r="O33" s="341"/>
      <c r="P33" s="742"/>
      <c r="Q33" s="341"/>
      <c r="R33" s="341"/>
      <c r="S33" s="342"/>
      <c r="T33" s="742"/>
      <c r="U33" s="617"/>
      <c r="V33" s="343"/>
      <c r="W33" s="341"/>
      <c r="X33" s="343"/>
      <c r="Y33" s="343"/>
      <c r="Z33"/>
      <c r="AA33"/>
    </row>
    <row r="34" spans="2:27" ht="19.2">
      <c r="C34" s="735"/>
      <c r="J34" s="345" t="s">
        <v>488</v>
      </c>
      <c r="K34" s="345"/>
      <c r="L34" s="345"/>
      <c r="M34" s="721"/>
      <c r="N34" s="340"/>
      <c r="O34" s="341"/>
      <c r="P34" s="742"/>
      <c r="Q34" s="341"/>
      <c r="R34" s="341"/>
      <c r="S34" s="342"/>
      <c r="T34" s="742"/>
      <c r="U34" s="617"/>
      <c r="V34" s="343"/>
      <c r="W34" s="341"/>
      <c r="X34" s="343"/>
      <c r="Y34" s="343"/>
      <c r="Z34"/>
      <c r="AA34"/>
    </row>
    <row r="35" spans="2:27" ht="19.2">
      <c r="C35" s="735"/>
      <c r="K35" s="3" t="s">
        <v>488</v>
      </c>
      <c r="L35" s="3"/>
      <c r="M35" s="721"/>
      <c r="N35" s="340"/>
      <c r="O35" s="341"/>
      <c r="P35" s="742"/>
      <c r="Q35" s="341"/>
      <c r="R35" s="341"/>
      <c r="S35" s="342"/>
      <c r="T35" s="742"/>
      <c r="U35" s="617"/>
      <c r="V35" s="343"/>
      <c r="W35" s="341"/>
      <c r="X35" s="343"/>
      <c r="Y35" s="343"/>
      <c r="Z35"/>
      <c r="AA35"/>
    </row>
    <row r="36" spans="2:27" ht="19.2">
      <c r="C36" s="735"/>
      <c r="L36" s="720" t="s">
        <v>488</v>
      </c>
      <c r="M36" s="721"/>
      <c r="N36" s="340"/>
      <c r="O36" s="341"/>
      <c r="P36" s="742"/>
      <c r="Q36" s="341"/>
      <c r="R36" s="341"/>
      <c r="S36" s="342"/>
      <c r="T36" s="742"/>
      <c r="U36" s="617"/>
      <c r="V36" s="343"/>
      <c r="W36" s="341"/>
      <c r="X36" s="343"/>
      <c r="Y36" s="343"/>
      <c r="Z36"/>
      <c r="AA36"/>
    </row>
    <row r="37" spans="2:27" ht="19.2">
      <c r="M37" s="721"/>
      <c r="N37" s="340"/>
      <c r="O37" s="341"/>
      <c r="P37" s="742"/>
      <c r="Q37" s="341"/>
      <c r="R37" s="341"/>
      <c r="S37" s="342"/>
      <c r="T37" s="742"/>
      <c r="U37" s="617"/>
      <c r="V37" s="343"/>
      <c r="W37" s="341"/>
      <c r="X37" s="343"/>
      <c r="Y37" s="343"/>
      <c r="Z37"/>
      <c r="AA37"/>
    </row>
    <row r="38" spans="2:27" ht="19.2">
      <c r="C38" s="735"/>
      <c r="F38" s="589" t="s">
        <v>489</v>
      </c>
      <c r="G38" s="589"/>
      <c r="H38" s="589"/>
      <c r="I38" s="589"/>
      <c r="J38" s="589"/>
      <c r="K38" s="589"/>
      <c r="L38" s="589"/>
      <c r="M38" s="736"/>
      <c r="N38" s="590"/>
      <c r="O38" s="591"/>
      <c r="P38" s="738"/>
      <c r="Q38" s="595"/>
      <c r="R38" s="595"/>
      <c r="S38" s="596"/>
      <c r="T38" s="738"/>
      <c r="U38" s="621"/>
      <c r="V38" s="593"/>
      <c r="W38" s="591"/>
      <c r="X38" s="594"/>
      <c r="Y38" s="594"/>
      <c r="Z38"/>
      <c r="AA38"/>
    </row>
    <row r="39" spans="2:27" ht="19.2">
      <c r="M39" s="721"/>
      <c r="N39" s="340"/>
      <c r="O39" s="341"/>
      <c r="P39" s="742"/>
      <c r="Q39" s="341"/>
      <c r="R39" s="341"/>
      <c r="S39" s="342"/>
      <c r="T39" s="742"/>
      <c r="U39" s="617"/>
      <c r="V39" s="343"/>
      <c r="W39" s="341"/>
      <c r="X39" s="343"/>
      <c r="Y39" s="343"/>
      <c r="Z39"/>
      <c r="AA39"/>
    </row>
    <row r="40" spans="2:27" ht="19.2">
      <c r="C40" s="735"/>
      <c r="E40" s="92" t="s">
        <v>489</v>
      </c>
      <c r="F40" s="92"/>
      <c r="G40" s="92"/>
      <c r="H40" s="92"/>
      <c r="I40" s="92"/>
      <c r="J40" s="92"/>
      <c r="K40" s="92"/>
      <c r="L40" s="92"/>
      <c r="M40" s="722"/>
      <c r="N40" s="378"/>
      <c r="O40" s="376"/>
      <c r="P40" s="739"/>
      <c r="Q40" s="376"/>
      <c r="R40" s="376"/>
      <c r="S40" s="377"/>
      <c r="T40" s="739"/>
      <c r="U40" s="619"/>
      <c r="V40" s="375"/>
      <c r="W40" s="376"/>
      <c r="X40" s="346"/>
      <c r="Y40" s="346"/>
      <c r="Z40"/>
      <c r="AA40"/>
    </row>
    <row r="41" spans="2:27" ht="19.2">
      <c r="M41" s="721"/>
      <c r="N41" s="340"/>
      <c r="O41" s="341"/>
      <c r="P41" s="742"/>
      <c r="Q41" s="341"/>
      <c r="R41" s="341"/>
      <c r="S41" s="342"/>
      <c r="T41" s="742"/>
      <c r="U41" s="617"/>
      <c r="V41" s="343"/>
      <c r="W41" s="341"/>
      <c r="X41" s="343"/>
      <c r="Y41" s="343"/>
      <c r="Z41"/>
      <c r="AA41"/>
    </row>
    <row r="42" spans="2:27" ht="19.2">
      <c r="C42" s="735"/>
      <c r="D42" s="597" t="s">
        <v>489</v>
      </c>
      <c r="E42" s="597"/>
      <c r="F42" s="597"/>
      <c r="G42" s="597"/>
      <c r="H42" s="597"/>
      <c r="I42" s="597"/>
      <c r="J42" s="597"/>
      <c r="K42" s="597"/>
      <c r="L42" s="597"/>
      <c r="M42" s="726"/>
      <c r="N42" s="598"/>
      <c r="O42" s="599"/>
      <c r="P42" s="740"/>
      <c r="Q42" s="599"/>
      <c r="R42" s="599"/>
      <c r="S42" s="600"/>
      <c r="T42" s="740"/>
      <c r="U42" s="620"/>
      <c r="V42" s="602"/>
      <c r="W42" s="599"/>
      <c r="X42" s="601"/>
      <c r="Y42" s="601"/>
      <c r="Z42"/>
      <c r="AA42"/>
    </row>
    <row r="43" spans="2:27" ht="19.2">
      <c r="M43" s="721"/>
      <c r="N43" s="340"/>
      <c r="O43" s="341"/>
      <c r="P43" s="742"/>
      <c r="Q43" s="341"/>
      <c r="R43" s="341"/>
      <c r="S43" s="342"/>
      <c r="T43" s="742"/>
      <c r="U43" s="617"/>
      <c r="V43" s="343"/>
      <c r="W43" s="341"/>
      <c r="X43" s="343"/>
      <c r="Y43" s="343"/>
      <c r="Z43"/>
      <c r="AA43"/>
    </row>
    <row r="44" spans="2:27" ht="19.2">
      <c r="C44" s="584" t="s">
        <v>489</v>
      </c>
      <c r="D44" s="584"/>
      <c r="E44" s="584"/>
      <c r="F44" s="584"/>
      <c r="G44" s="584"/>
      <c r="H44" s="584"/>
      <c r="I44" s="584"/>
      <c r="J44" s="584"/>
      <c r="K44" s="584"/>
      <c r="L44" s="584"/>
      <c r="M44" s="727"/>
      <c r="N44" s="603"/>
      <c r="O44" s="604"/>
      <c r="P44" s="731"/>
      <c r="Q44" s="604"/>
      <c r="R44" s="604"/>
      <c r="S44" s="605"/>
      <c r="T44" s="731"/>
      <c r="U44" s="616"/>
      <c r="V44" s="606"/>
      <c r="W44" s="604"/>
      <c r="X44" s="585"/>
      <c r="Y44" s="585"/>
      <c r="Z44"/>
      <c r="AA44"/>
    </row>
    <row r="45" spans="2:27" ht="19.2">
      <c r="M45" s="721"/>
      <c r="N45" s="340"/>
      <c r="O45" s="341"/>
      <c r="P45" s="742"/>
      <c r="Q45" s="341"/>
      <c r="R45" s="341"/>
      <c r="S45" s="342"/>
      <c r="T45" s="742"/>
      <c r="U45" s="617"/>
      <c r="V45" s="343"/>
      <c r="W45" s="341"/>
      <c r="X45" s="343"/>
      <c r="Y45" s="343"/>
      <c r="Z45"/>
      <c r="AA45"/>
    </row>
    <row r="46" spans="2:27" ht="19.2">
      <c r="B46" s="607" t="s">
        <v>230</v>
      </c>
      <c r="C46" s="607"/>
      <c r="D46" s="607"/>
      <c r="E46" s="607"/>
      <c r="F46" s="607"/>
      <c r="G46" s="607"/>
      <c r="H46" s="607"/>
      <c r="I46" s="607"/>
      <c r="J46" s="607"/>
      <c r="K46" s="607"/>
      <c r="L46" s="607"/>
      <c r="M46" s="737"/>
      <c r="N46" s="608" t="e">
        <v>#N/A</v>
      </c>
      <c r="O46" s="609">
        <v>0</v>
      </c>
      <c r="P46" s="741" t="e">
        <v>#N/A</v>
      </c>
      <c r="Q46" s="609">
        <v>0</v>
      </c>
      <c r="R46" s="609">
        <v>0</v>
      </c>
      <c r="S46" s="610">
        <v>0</v>
      </c>
      <c r="T46" s="741"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sheetProtection algorithmName="SHA-512" hashValue="j25qldNajkKT+iGOakhfpr3/921bEDHFjtzd4Vibqe73GG4473JFBIkeRB7Bc/XmKbqY06TcW9DBiz/oRukCSA==" saltValue="5TVtG0v7zWKDzEpWaJMH/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62.81640625" style="134"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663" t="s">
        <v>645</v>
      </c>
      <c r="C2" s="663"/>
      <c r="D2" s="663"/>
      <c r="E2" s="663"/>
      <c r="F2" s="663"/>
      <c r="G2" s="663"/>
      <c r="H2" s="663"/>
      <c r="I2" s="663"/>
      <c r="J2" s="663"/>
      <c r="K2" s="663"/>
      <c r="P2" s="135" t="s">
        <v>189</v>
      </c>
    </row>
    <row r="3" spans="2:16" ht="22.95" customHeight="1">
      <c r="B3" s="664" t="s">
        <v>646</v>
      </c>
      <c r="C3" s="664"/>
      <c r="D3" s="664"/>
      <c r="E3" s="664"/>
      <c r="F3" s="664"/>
      <c r="G3" s="664"/>
      <c r="H3" s="664"/>
      <c r="I3" s="664"/>
      <c r="J3" s="664"/>
      <c r="K3" s="664"/>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i2CIfm5BEDEXIze8ch2PQd42o1fEw12H2xkeDKbLIw184IiZEQ5R9Ct2wR9TOH/jhBz0VLfAUPJvDZNo4OP1HA==" saltValue="DnYDrzoWu7uc1UTEPK8/yg=="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665" t="s">
        <v>675</v>
      </c>
      <c r="C2" s="665"/>
      <c r="D2" s="665"/>
      <c r="E2" s="665"/>
      <c r="F2" s="665"/>
      <c r="G2" s="665"/>
      <c r="H2" s="665"/>
      <c r="I2" s="665"/>
      <c r="J2" s="665"/>
      <c r="K2" s="665"/>
      <c r="O2" s="135" t="s">
        <v>190</v>
      </c>
    </row>
    <row r="3" spans="2:15" ht="22.95" customHeight="1">
      <c r="B3" s="664" t="s">
        <v>647</v>
      </c>
      <c r="C3" s="664"/>
      <c r="D3" s="664"/>
      <c r="E3" s="664"/>
      <c r="F3" s="664"/>
      <c r="G3" s="664"/>
      <c r="H3" s="664"/>
      <c r="I3" s="664"/>
      <c r="J3" s="664"/>
      <c r="K3" s="664"/>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Puel/gjMhYKv+Nv4SV5vJk3Y6I43mPKQsU43+xucKGDyeXOHE7DG0QfCmbW1f+6WMCDasDc0rd53Ju9aSxNNnA==" saltValue="5Bfwy/pe2Kb5s7tcpKnPKA=="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45"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666" t="s">
        <v>648</v>
      </c>
      <c r="C2" s="666"/>
      <c r="D2" s="666"/>
      <c r="E2" s="666"/>
      <c r="F2" s="666"/>
      <c r="G2" s="666"/>
      <c r="H2" s="666"/>
      <c r="I2" s="666"/>
      <c r="J2" s="666"/>
      <c r="K2" s="666"/>
      <c r="T2" s="559" t="s">
        <v>641</v>
      </c>
    </row>
    <row r="3" spans="2:20" ht="22.95" customHeight="1">
      <c r="B3" s="664" t="s">
        <v>647</v>
      </c>
      <c r="C3" s="664"/>
      <c r="D3" s="664"/>
      <c r="E3" s="664"/>
      <c r="F3" s="664"/>
      <c r="G3" s="664"/>
      <c r="H3" s="664"/>
      <c r="I3" s="664"/>
      <c r="J3" s="664"/>
      <c r="K3" s="664"/>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i65AT3qYOtCRPgN9/qGK9BShNsLF+SwfMLKne0+jGlHWKHAQMVoRaBkXgyEvKEmpD38ZGyIbqxjgBrXUQ1fe/g==" saltValue="dMqQz/LDar2ILWL84j9cE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667" t="s">
        <v>591</v>
      </c>
      <c r="D2" s="667"/>
      <c r="E2" s="667"/>
      <c r="F2" s="667"/>
      <c r="G2" s="667"/>
      <c r="H2" s="667"/>
      <c r="I2" s="667"/>
      <c r="J2" s="667"/>
      <c r="N2" s="1"/>
      <c r="O2" s="1"/>
      <c r="P2" s="667" t="s">
        <v>592</v>
      </c>
      <c r="Q2" s="667"/>
      <c r="R2" s="667"/>
      <c r="S2" s="667"/>
      <c r="T2" s="667"/>
      <c r="U2" s="667"/>
      <c r="V2" s="667"/>
      <c r="W2" s="667"/>
    </row>
    <row r="3" spans="1:23" ht="19.2">
      <c r="A3" s="1"/>
      <c r="B3" s="1"/>
      <c r="C3" s="1"/>
      <c r="D3" s="1"/>
      <c r="E3" s="1"/>
      <c r="F3" s="1"/>
      <c r="G3" s="1"/>
      <c r="H3" s="1"/>
      <c r="I3" s="1"/>
      <c r="J3" s="1"/>
      <c r="N3" s="1"/>
      <c r="O3" s="1"/>
      <c r="P3" s="1"/>
      <c r="Q3" s="1"/>
      <c r="R3" s="1"/>
      <c r="S3" s="1"/>
      <c r="T3" s="1"/>
      <c r="U3" s="1"/>
      <c r="V3" s="1"/>
      <c r="W3" s="1"/>
    </row>
    <row r="4" spans="1:23" ht="52.05" customHeight="1">
      <c r="A4" s="1"/>
      <c r="B4" s="53"/>
      <c r="C4" s="666" t="s">
        <v>649</v>
      </c>
      <c r="D4" s="666"/>
      <c r="E4" s="666"/>
      <c r="F4" s="666"/>
      <c r="G4" s="328"/>
      <c r="H4" s="666" t="s">
        <v>634</v>
      </c>
      <c r="I4" s="666"/>
      <c r="J4" s="666"/>
      <c r="N4" s="1"/>
      <c r="O4" s="53"/>
      <c r="P4" s="666" t="s">
        <v>649</v>
      </c>
      <c r="Q4" s="666"/>
      <c r="R4" s="666"/>
      <c r="S4" s="666"/>
      <c r="T4" s="555"/>
      <c r="U4" s="666" t="s">
        <v>634</v>
      </c>
      <c r="V4" s="666"/>
      <c r="W4" s="666"/>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saivdHdLaZwYwKmOqmF/lxF++ezjK1gjKYq4//TfN1kzn1CV5vT6OANiO0jNN/2j3fleovOXFFIVw1YhAidnqA==" saltValue="UZHRTZLGSOnjYbIvPHx7cA=="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21.36328125" style="134" customWidth="1"/>
    <col min="3" max="11" width="23" style="134"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666" t="str">
        <f>+AAI!C4</f>
        <v>DETERMINACIÓN DEL AJUSTE ANUAL POR INFLACIÓN CONFORME AL TÍTULO IV DE LA LISR</v>
      </c>
      <c r="C10" s="666"/>
      <c r="D10" s="666"/>
      <c r="E10" s="666"/>
      <c r="F10" s="666"/>
      <c r="G10" s="666"/>
      <c r="H10" s="666"/>
      <c r="I10" s="666"/>
      <c r="J10" s="666"/>
      <c r="K10" s="666"/>
      <c r="L10" s="666"/>
      <c r="M10" s="140"/>
    </row>
    <row r="11" spans="2:14" ht="22.95" customHeight="1">
      <c r="B11" s="671" t="str">
        <f>+AAI!C5</f>
        <v>INGRESOS ACUMULABLES CONFORME AL TÍTULO IV, CAPÍTULO VI DE LA LISR</v>
      </c>
      <c r="C11" s="671"/>
      <c r="D11" s="671"/>
      <c r="E11" s="671"/>
      <c r="F11" s="671"/>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668" t="s">
        <v>220</v>
      </c>
      <c r="D13" s="668"/>
      <c r="E13" s="668"/>
      <c r="F13" s="668"/>
      <c r="G13" s="668"/>
      <c r="H13" s="668"/>
      <c r="I13" s="668"/>
      <c r="J13" s="668"/>
      <c r="K13" s="668"/>
      <c r="L13" s="668"/>
      <c r="M13" s="140"/>
      <c r="N13" s="670"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669" t="s">
        <v>70</v>
      </c>
      <c r="M14" s="140"/>
      <c r="N14" s="670"/>
    </row>
    <row r="15" spans="2:14" ht="22.95" hidden="1" customHeight="1">
      <c r="C15" s="217" t="s">
        <v>69</v>
      </c>
      <c r="D15" s="217" t="s">
        <v>69</v>
      </c>
      <c r="E15" s="217" t="s">
        <v>69</v>
      </c>
      <c r="F15" s="217" t="s">
        <v>69</v>
      </c>
      <c r="G15" s="217" t="s">
        <v>69</v>
      </c>
      <c r="H15" s="217" t="s">
        <v>69</v>
      </c>
      <c r="I15" s="217" t="s">
        <v>69</v>
      </c>
      <c r="J15" s="217" t="s">
        <v>69</v>
      </c>
      <c r="K15" s="217" t="s">
        <v>69</v>
      </c>
      <c r="L15" s="669"/>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668" t="s">
        <v>220</v>
      </c>
      <c r="D32" s="668"/>
      <c r="E32" s="668"/>
      <c r="F32" s="668"/>
      <c r="G32" s="668"/>
      <c r="H32" s="668"/>
      <c r="I32" s="668"/>
      <c r="J32" s="668"/>
      <c r="K32" s="668"/>
      <c r="L32" s="668"/>
    </row>
    <row r="33" spans="2:12" ht="22.95" hidden="1" customHeight="1">
      <c r="B33" s="214"/>
      <c r="C33" s="217" t="s">
        <v>67</v>
      </c>
      <c r="D33" s="217" t="s">
        <v>67</v>
      </c>
      <c r="E33" s="217" t="s">
        <v>67</v>
      </c>
      <c r="F33" s="217" t="s">
        <v>67</v>
      </c>
      <c r="G33" s="217" t="s">
        <v>67</v>
      </c>
      <c r="H33" s="217" t="s">
        <v>67</v>
      </c>
      <c r="I33" s="217" t="s">
        <v>67</v>
      </c>
      <c r="J33" s="217" t="s">
        <v>67</v>
      </c>
      <c r="K33" s="217" t="s">
        <v>67</v>
      </c>
      <c r="L33" s="669" t="s">
        <v>70</v>
      </c>
    </row>
    <row r="34" spans="2:12" ht="22.95" hidden="1" customHeight="1">
      <c r="C34" s="217" t="s">
        <v>69</v>
      </c>
      <c r="D34" s="217" t="s">
        <v>69</v>
      </c>
      <c r="E34" s="217" t="s">
        <v>69</v>
      </c>
      <c r="F34" s="217" t="s">
        <v>69</v>
      </c>
      <c r="G34" s="217" t="s">
        <v>69</v>
      </c>
      <c r="H34" s="217" t="s">
        <v>69</v>
      </c>
      <c r="I34" s="217" t="s">
        <v>69</v>
      </c>
      <c r="J34" s="217" t="s">
        <v>69</v>
      </c>
      <c r="K34" s="217" t="s">
        <v>69</v>
      </c>
      <c r="L34" s="669"/>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668" t="s">
        <v>220</v>
      </c>
      <c r="D51" s="668"/>
      <c r="E51" s="668"/>
      <c r="F51" s="668"/>
      <c r="G51" s="668"/>
      <c r="H51" s="668"/>
      <c r="I51" s="668"/>
      <c r="J51" s="668"/>
      <c r="K51" s="668"/>
      <c r="L51" s="668"/>
    </row>
    <row r="52" spans="2:12" ht="22.95" hidden="1" customHeight="1">
      <c r="B52" s="214"/>
      <c r="C52" s="217" t="s">
        <v>67</v>
      </c>
      <c r="D52" s="217" t="s">
        <v>67</v>
      </c>
      <c r="E52" s="217" t="s">
        <v>67</v>
      </c>
      <c r="F52" s="217" t="s">
        <v>67</v>
      </c>
      <c r="G52" s="217" t="s">
        <v>67</v>
      </c>
      <c r="H52" s="217" t="s">
        <v>67</v>
      </c>
      <c r="I52" s="217" t="s">
        <v>67</v>
      </c>
      <c r="J52" s="217" t="s">
        <v>67</v>
      </c>
      <c r="K52" s="217" t="s">
        <v>67</v>
      </c>
      <c r="L52" s="669" t="s">
        <v>70</v>
      </c>
    </row>
    <row r="53" spans="2:12" ht="22.95" hidden="1" customHeight="1">
      <c r="C53" s="217" t="s">
        <v>69</v>
      </c>
      <c r="D53" s="217" t="s">
        <v>69</v>
      </c>
      <c r="E53" s="217" t="s">
        <v>69</v>
      </c>
      <c r="F53" s="217" t="s">
        <v>69</v>
      </c>
      <c r="G53" s="217" t="s">
        <v>69</v>
      </c>
      <c r="H53" s="217" t="s">
        <v>69</v>
      </c>
      <c r="I53" s="217" t="s">
        <v>69</v>
      </c>
      <c r="J53" s="217" t="s">
        <v>69</v>
      </c>
      <c r="K53" s="217" t="s">
        <v>69</v>
      </c>
      <c r="L53" s="669"/>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668" t="s">
        <v>221</v>
      </c>
      <c r="D70" s="668"/>
      <c r="E70" s="668"/>
      <c r="F70" s="668"/>
      <c r="G70" s="668"/>
      <c r="H70" s="668"/>
      <c r="I70" s="668"/>
      <c r="J70" s="668"/>
      <c r="K70" s="668"/>
      <c r="L70" s="668"/>
    </row>
    <row r="71" spans="2:12" ht="22.95" hidden="1" customHeight="1">
      <c r="B71" s="214"/>
      <c r="C71" s="217" t="s">
        <v>67</v>
      </c>
      <c r="D71" s="217" t="s">
        <v>67</v>
      </c>
      <c r="E71" s="217" t="s">
        <v>67</v>
      </c>
      <c r="F71" s="217" t="s">
        <v>67</v>
      </c>
      <c r="G71" s="217" t="s">
        <v>67</v>
      </c>
      <c r="H71" s="217" t="s">
        <v>67</v>
      </c>
      <c r="I71" s="217" t="s">
        <v>67</v>
      </c>
      <c r="J71" s="217" t="s">
        <v>67</v>
      </c>
      <c r="K71" s="217" t="s">
        <v>67</v>
      </c>
      <c r="L71" s="669" t="s">
        <v>70</v>
      </c>
    </row>
    <row r="72" spans="2:12" ht="22.95" hidden="1" customHeight="1">
      <c r="C72" s="217" t="s">
        <v>69</v>
      </c>
      <c r="D72" s="217" t="s">
        <v>69</v>
      </c>
      <c r="E72" s="217" t="s">
        <v>69</v>
      </c>
      <c r="F72" s="217" t="s">
        <v>69</v>
      </c>
      <c r="G72" s="217" t="s">
        <v>69</v>
      </c>
      <c r="H72" s="217" t="s">
        <v>69</v>
      </c>
      <c r="I72" s="217" t="s">
        <v>69</v>
      </c>
      <c r="J72" s="217" t="s">
        <v>69</v>
      </c>
      <c r="K72" s="217" t="s">
        <v>69</v>
      </c>
      <c r="L72" s="669"/>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668" t="s">
        <v>221</v>
      </c>
      <c r="D89" s="668"/>
      <c r="E89" s="668"/>
      <c r="F89" s="668"/>
      <c r="G89" s="668"/>
      <c r="H89" s="668"/>
      <c r="I89" s="668"/>
      <c r="J89" s="668"/>
      <c r="K89" s="668"/>
      <c r="L89" s="668"/>
    </row>
    <row r="90" spans="2:12" ht="22.95" hidden="1" customHeight="1">
      <c r="B90" s="214"/>
      <c r="C90" s="217" t="s">
        <v>67</v>
      </c>
      <c r="D90" s="217" t="s">
        <v>67</v>
      </c>
      <c r="E90" s="217" t="s">
        <v>67</v>
      </c>
      <c r="F90" s="217" t="s">
        <v>67</v>
      </c>
      <c r="G90" s="217" t="s">
        <v>67</v>
      </c>
      <c r="H90" s="217" t="s">
        <v>67</v>
      </c>
      <c r="I90" s="217" t="s">
        <v>67</v>
      </c>
      <c r="J90" s="217" t="s">
        <v>67</v>
      </c>
      <c r="K90" s="217" t="s">
        <v>67</v>
      </c>
      <c r="L90" s="669" t="s">
        <v>70</v>
      </c>
    </row>
    <row r="91" spans="2:12" ht="22.95" hidden="1" customHeight="1">
      <c r="C91" s="217" t="s">
        <v>69</v>
      </c>
      <c r="D91" s="217" t="s">
        <v>69</v>
      </c>
      <c r="E91" s="217" t="s">
        <v>69</v>
      </c>
      <c r="F91" s="217" t="s">
        <v>69</v>
      </c>
      <c r="G91" s="217" t="s">
        <v>69</v>
      </c>
      <c r="H91" s="217" t="s">
        <v>69</v>
      </c>
      <c r="I91" s="217" t="s">
        <v>69</v>
      </c>
      <c r="J91" s="217" t="s">
        <v>69</v>
      </c>
      <c r="K91" s="217" t="s">
        <v>69</v>
      </c>
      <c r="L91" s="669"/>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668" t="s">
        <v>353</v>
      </c>
      <c r="D108" s="668"/>
      <c r="E108" s="668"/>
      <c r="F108" s="668"/>
      <c r="G108" s="668"/>
      <c r="H108" s="668"/>
      <c r="I108" s="668"/>
      <c r="J108" s="668"/>
      <c r="K108" s="668"/>
      <c r="L108" s="668"/>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669" t="s">
        <v>70</v>
      </c>
    </row>
    <row r="110" spans="2:12" ht="22.95" hidden="1" customHeight="1">
      <c r="C110" s="217" t="s">
        <v>69</v>
      </c>
      <c r="D110" s="217" t="s">
        <v>69</v>
      </c>
      <c r="E110" s="217" t="s">
        <v>69</v>
      </c>
      <c r="F110" s="217" t="s">
        <v>69</v>
      </c>
      <c r="G110" s="217" t="s">
        <v>69</v>
      </c>
      <c r="H110" s="217" t="s">
        <v>69</v>
      </c>
      <c r="I110" s="217" t="s">
        <v>69</v>
      </c>
      <c r="J110" s="217" t="s">
        <v>69</v>
      </c>
      <c r="K110" s="217" t="s">
        <v>69</v>
      </c>
      <c r="L110" s="669"/>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668" t="s">
        <v>354</v>
      </c>
      <c r="D127" s="668"/>
      <c r="E127" s="668"/>
      <c r="F127" s="668"/>
      <c r="G127" s="668"/>
      <c r="H127" s="668"/>
      <c r="I127" s="668"/>
      <c r="J127" s="668"/>
      <c r="K127" s="668"/>
      <c r="L127" s="668"/>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669" t="s">
        <v>70</v>
      </c>
    </row>
    <row r="129" spans="2:12" ht="22.95" hidden="1" customHeight="1">
      <c r="C129" s="217" t="s">
        <v>69</v>
      </c>
      <c r="D129" s="217" t="s">
        <v>69</v>
      </c>
      <c r="E129" s="217" t="s">
        <v>69</v>
      </c>
      <c r="F129" s="217" t="s">
        <v>69</v>
      </c>
      <c r="G129" s="217" t="s">
        <v>69</v>
      </c>
      <c r="H129" s="217" t="s">
        <v>69</v>
      </c>
      <c r="I129" s="217" t="s">
        <v>69</v>
      </c>
      <c r="J129" s="217" t="s">
        <v>69</v>
      </c>
      <c r="K129" s="217" t="s">
        <v>69</v>
      </c>
      <c r="L129" s="669"/>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gyM035MuWq/TYKj840nW1wZV8QMxdEpRQnS45H/UBX9BKmAzMLM3PQi3IY2xT+vcL2xwYyn5tXvcDzwj3bEFsg==" saltValue="QTNTfdqyY3BDSKTQ4mj1+g==" spinCount="100000" sheet="1" objects="1" scenarios="1"/>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41.453125" style="382" customWidth="1"/>
    <col min="3" max="14" width="12.453125" style="382" customWidth="1"/>
    <col min="15" max="16384" width="10.81640625" style="382"/>
  </cols>
  <sheetData>
    <row r="2" spans="2:14" ht="31.05" customHeight="1">
      <c r="B2" s="673" t="s">
        <v>535</v>
      </c>
      <c r="C2" s="673"/>
      <c r="D2" s="673"/>
      <c r="E2" s="673"/>
      <c r="F2" s="673"/>
      <c r="G2" s="673"/>
      <c r="H2" s="673"/>
      <c r="I2" s="673"/>
      <c r="J2" s="673"/>
      <c r="K2" s="673"/>
      <c r="L2" s="673"/>
    </row>
    <row r="3" spans="2:14">
      <c r="B3" s="674"/>
      <c r="C3" s="674"/>
      <c r="D3" s="674"/>
      <c r="E3" s="674"/>
      <c r="F3" s="674"/>
      <c r="G3" s="674"/>
      <c r="H3" s="674"/>
      <c r="I3" s="674"/>
    </row>
    <row r="4" spans="2:14">
      <c r="B4" s="383" t="s">
        <v>445</v>
      </c>
      <c r="C4" s="383" t="s">
        <v>678</v>
      </c>
      <c r="D4" s="383"/>
      <c r="E4" s="384"/>
      <c r="F4" s="384"/>
      <c r="G4" s="384"/>
      <c r="H4" s="384"/>
      <c r="I4" s="384"/>
      <c r="J4" s="384"/>
      <c r="K4" s="384"/>
      <c r="L4" s="384"/>
      <c r="M4" s="384"/>
      <c r="N4" s="384"/>
    </row>
    <row r="5" spans="2:14" hidden="1">
      <c r="B5" s="672" t="s">
        <v>532</v>
      </c>
      <c r="C5" s="672"/>
      <c r="D5" s="672"/>
      <c r="E5" s="672"/>
      <c r="F5" s="672"/>
      <c r="G5" s="672"/>
      <c r="H5" s="672"/>
      <c r="I5" s="672"/>
      <c r="J5" s="672"/>
      <c r="K5" s="672"/>
      <c r="L5" s="672"/>
      <c r="M5" s="672"/>
      <c r="N5" s="672"/>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672" t="s">
        <v>532</v>
      </c>
      <c r="C16" s="672"/>
      <c r="D16" s="672"/>
      <c r="E16" s="672"/>
      <c r="F16" s="672"/>
      <c r="G16" s="672"/>
      <c r="H16" s="672"/>
      <c r="I16" s="672"/>
      <c r="J16" s="672"/>
      <c r="K16" s="672"/>
      <c r="L16" s="672"/>
      <c r="M16" s="672"/>
      <c r="N16" s="672"/>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672" t="s">
        <v>532</v>
      </c>
      <c r="C26" s="672"/>
      <c r="D26" s="672"/>
      <c r="E26" s="672"/>
      <c r="F26" s="672"/>
      <c r="G26" s="672"/>
      <c r="H26" s="672"/>
      <c r="I26" s="672"/>
      <c r="J26" s="672"/>
      <c r="K26" s="672"/>
      <c r="L26" s="672"/>
      <c r="M26" s="672"/>
      <c r="N26" s="672"/>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672" t="s">
        <v>532</v>
      </c>
      <c r="C36" s="672"/>
      <c r="D36" s="672"/>
      <c r="E36" s="672"/>
      <c r="F36" s="672"/>
      <c r="G36" s="672"/>
      <c r="H36" s="672"/>
      <c r="I36" s="672"/>
      <c r="J36" s="672"/>
      <c r="K36" s="672"/>
      <c r="L36" s="672"/>
      <c r="M36" s="672"/>
      <c r="N36" s="672"/>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672" t="s">
        <v>532</v>
      </c>
      <c r="C46" s="672"/>
      <c r="D46" s="672"/>
      <c r="E46" s="672"/>
      <c r="F46" s="672"/>
      <c r="G46" s="672"/>
      <c r="H46" s="672"/>
      <c r="I46" s="672"/>
      <c r="J46" s="672"/>
      <c r="K46" s="672"/>
      <c r="L46" s="672"/>
      <c r="M46" s="672"/>
      <c r="N46" s="672"/>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672" t="s">
        <v>532</v>
      </c>
      <c r="C56" s="672"/>
      <c r="D56" s="672"/>
      <c r="E56" s="672"/>
      <c r="F56" s="672"/>
      <c r="G56" s="672"/>
      <c r="H56" s="672"/>
      <c r="I56" s="672"/>
      <c r="J56" s="672"/>
      <c r="K56" s="672"/>
      <c r="L56" s="672"/>
      <c r="M56" s="672"/>
      <c r="N56" s="672"/>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672" t="s">
        <v>532</v>
      </c>
      <c r="C66" s="672"/>
      <c r="D66" s="672"/>
      <c r="E66" s="672"/>
      <c r="F66" s="672"/>
      <c r="G66" s="672"/>
      <c r="H66" s="672"/>
      <c r="I66" s="672"/>
      <c r="J66" s="672"/>
      <c r="K66" s="672"/>
      <c r="L66" s="672"/>
      <c r="M66" s="672"/>
      <c r="N66" s="672"/>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uZ7rQ3BpEUj69lbkIzYMwEbEN8WSPlTt60uT2h7ohCRYoJ9aBt6k1Zzsw/2A5+efxVSM/BTJxTtqWQHGgYAM6A==" saltValue="/PaOrN1gCHf/dukSXWuIt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657" t="s">
        <v>460</v>
      </c>
      <c r="D2" s="657"/>
    </row>
    <row r="3" spans="2:4" ht="22.95" customHeight="1">
      <c r="C3" s="664" t="s">
        <v>674</v>
      </c>
      <c r="D3" s="664"/>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675" t="s">
        <v>89</v>
      </c>
      <c r="C17" s="675"/>
      <c r="D17" s="675"/>
    </row>
  </sheetData>
  <sheetProtection algorithmName="SHA-512" hashValue="0WHJiODpVPhK+5FNE8oy1NOgeHrIeLX13+7ZRQHuHX0SyJoy6x+TTEnrQgVPulOXOP8fO7aLgPaIqk8NZ1/HqA==" saltValue="CjlSkchqAwST6ickusrPGA=="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676" t="s">
        <v>650</v>
      </c>
      <c r="C2" s="676"/>
      <c r="D2" s="676"/>
      <c r="E2" s="676"/>
      <c r="F2" s="676"/>
      <c r="G2" s="676"/>
      <c r="H2" s="676"/>
      <c r="I2" s="676"/>
      <c r="J2" s="676"/>
      <c r="K2" s="676"/>
      <c r="P2" s="204" t="s">
        <v>642</v>
      </c>
    </row>
    <row r="3" spans="2:16" ht="22.95" customHeight="1">
      <c r="B3" s="664" t="s">
        <v>651</v>
      </c>
      <c r="C3" s="664"/>
      <c r="D3" s="664"/>
      <c r="E3" s="664"/>
      <c r="F3" s="664"/>
      <c r="G3" s="664"/>
      <c r="H3" s="664"/>
      <c r="I3" s="664"/>
      <c r="J3" s="664"/>
      <c r="K3" s="664"/>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lWfJrba3TozUia7sc8QkJni+0uTI2ZEDXlIkWV30XZ2oCUh6QXglARb/nPWFMKyMdcWBwNoiZWPwp7J1P35DXA==" saltValue="1G51m96EnP2xWlrxoGocV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663" t="s">
        <v>644</v>
      </c>
      <c r="C2" s="663"/>
      <c r="D2" s="663"/>
      <c r="E2" s="663"/>
      <c r="F2" s="663"/>
      <c r="G2" s="663"/>
      <c r="H2" s="663"/>
      <c r="I2" s="663"/>
      <c r="J2" s="663"/>
      <c r="K2" s="663"/>
      <c r="L2" s="663"/>
      <c r="M2" s="663"/>
      <c r="N2" s="663"/>
      <c r="O2" s="663"/>
      <c r="P2" s="663"/>
      <c r="Q2" s="663"/>
      <c r="R2" s="663"/>
    </row>
    <row r="3" spans="2:18" ht="22.95" customHeight="1">
      <c r="B3" s="664" t="s">
        <v>652</v>
      </c>
      <c r="C3" s="664"/>
      <c r="D3" s="664"/>
      <c r="E3" s="664"/>
      <c r="F3" s="664"/>
      <c r="G3" s="664"/>
      <c r="H3" s="664"/>
      <c r="I3" s="664"/>
      <c r="J3" s="664"/>
      <c r="K3" s="664"/>
      <c r="L3" s="664"/>
      <c r="M3" s="664"/>
      <c r="N3" s="664"/>
      <c r="O3" s="664"/>
      <c r="P3" s="664"/>
      <c r="Q3" s="664"/>
      <c r="R3" s="664"/>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mdwXI3vN8eMrKBSAmxnJuVe7vFiy074LP3WAEBqNNBcM4AW/XI5VI7nzO9KVmfEClqXTNErAagkZhARG4tOxZg==" saltValue="H/9va8UqP4prxn3sBuyJf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45">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aobmC8OEQedUO7+ZssThnmo9lIt9311SCvivcTXqswwbetjKj3pbuaeSm6xPku8DN7yz45cJ/qBhgN93GMluLQ==" saltValue="+4eMz8TrSKMplIAaEna37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666" t="s">
        <v>655</v>
      </c>
      <c r="C2" s="666"/>
      <c r="D2" s="666"/>
      <c r="E2" s="666"/>
      <c r="F2" s="666"/>
      <c r="G2" s="666"/>
      <c r="H2" s="666"/>
      <c r="I2" s="666"/>
      <c r="J2" s="666"/>
      <c r="K2" s="666"/>
    </row>
    <row r="3" spans="2:14" ht="22.95" customHeight="1">
      <c r="B3" s="664" t="s">
        <v>656</v>
      </c>
      <c r="C3" s="664"/>
      <c r="D3" s="664"/>
      <c r="E3" s="664"/>
      <c r="F3" s="664"/>
      <c r="G3" s="664"/>
      <c r="H3" s="664"/>
      <c r="I3" s="664"/>
      <c r="J3" s="664"/>
      <c r="K3" s="664"/>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tyYw1B4MlverNsFL49cA/LdZx2If1uEocfFSQ0ggy1WjMm9TUK9ZTAOjAfVMykZAaEk2JDDpoQqqzEGjU4BdnQ==" saltValue="h0fD7rXGKcpAepoUkOP/4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666" t="s">
        <v>657</v>
      </c>
      <c r="C2" s="666"/>
      <c r="D2" s="666"/>
      <c r="E2" s="666"/>
      <c r="F2" s="666"/>
      <c r="G2" s="666"/>
      <c r="H2" s="666"/>
      <c r="I2" s="666"/>
      <c r="J2" s="666"/>
      <c r="K2" s="666"/>
    </row>
    <row r="3" spans="2:11" ht="22.95" customHeight="1">
      <c r="B3" s="664" t="s">
        <v>658</v>
      </c>
      <c r="C3" s="664"/>
      <c r="D3" s="664"/>
      <c r="E3" s="664"/>
      <c r="F3" s="664"/>
      <c r="G3" s="664"/>
      <c r="H3" s="664"/>
      <c r="I3" s="664"/>
      <c r="J3" s="664"/>
      <c r="K3" s="664"/>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45">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te+gvBg3ynQmugFEdq0lPTNYdRtOPXZDPFTpgV4dJ6t52ZpwRHaOAWHGFjxD5YHP5fYLlTExtetCu9zY7dYL8w==" saltValue="/PrgsKT6V0WlsO9Lq2RcXg==" spinCount="100000" sheet="1" objects="1" scenarios="1"/>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677" t="s">
        <v>659</v>
      </c>
      <c r="C2" s="677"/>
      <c r="D2" s="677"/>
      <c r="E2" s="677"/>
      <c r="F2" s="677"/>
      <c r="G2" s="677"/>
      <c r="H2" s="677"/>
      <c r="I2" s="677"/>
      <c r="J2" s="677"/>
      <c r="K2" s="677"/>
      <c r="O2" s="263" t="s">
        <v>64</v>
      </c>
    </row>
    <row r="3" spans="2:15" ht="22.95" customHeight="1">
      <c r="B3" s="678" t="s">
        <v>656</v>
      </c>
      <c r="C3" s="678"/>
      <c r="D3" s="678"/>
      <c r="E3" s="678"/>
      <c r="F3" s="678"/>
      <c r="G3" s="678"/>
      <c r="H3" s="678"/>
      <c r="I3" s="678"/>
      <c r="J3" s="678"/>
      <c r="K3" s="678"/>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30">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0w1P6wgwKCIifPZ7166drJ+tGVMJCldPk/oNlNbOQWdC3htENagfLYmTLpW2KHQRnU2WwWid+LVB3FA/k1cDPQ==" saltValue="X9ZQ0MCw84zjHNnST3x7a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679" t="s">
        <v>660</v>
      </c>
      <c r="C2" s="679"/>
      <c r="D2" s="679"/>
      <c r="E2" s="679"/>
      <c r="F2" s="679"/>
      <c r="G2" s="679"/>
      <c r="H2" s="679"/>
      <c r="I2" s="679"/>
      <c r="J2" s="679"/>
      <c r="K2" s="679"/>
      <c r="O2" s="562" t="s">
        <v>666</v>
      </c>
    </row>
    <row r="3" spans="2:15" ht="22.95" customHeight="1">
      <c r="B3" s="678" t="s">
        <v>658</v>
      </c>
      <c r="C3" s="678"/>
      <c r="D3" s="678"/>
      <c r="E3" s="678"/>
      <c r="F3" s="678"/>
      <c r="G3" s="678"/>
      <c r="H3" s="678"/>
      <c r="I3" s="678"/>
      <c r="J3" s="678"/>
      <c r="K3" s="678"/>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SaMxgADKWrqoFWXfd35jiRcZ/bNglSrc+XRJ6qK0I7IF2NQjQubKt1kMK/dT+8hpr0sG1JMeNOtqGXhvjXT8Wg==" saltValue="ZScVEQYBhwrllR/qTA14j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Normal="80" zoomScaleSheetLayoutView="100" workbookViewId="0">
      <pane ySplit="5" topLeftCell="A6" activePane="bottomLeft" state="frozen"/>
      <selection activeCell="V19" sqref="V19"/>
      <selection pane="bottomLeft" activeCell="V19" sqref="V19"/>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659" t="s">
        <v>579</v>
      </c>
      <c r="C2" s="659"/>
      <c r="D2" s="659"/>
      <c r="E2" s="659"/>
      <c r="F2" s="659"/>
      <c r="G2" s="659"/>
      <c r="H2" s="659"/>
      <c r="I2" s="659"/>
      <c r="J2" s="659"/>
      <c r="K2" s="659"/>
      <c r="L2" s="659"/>
      <c r="M2" s="659"/>
      <c r="N2" s="659"/>
      <c r="O2" s="659"/>
      <c r="P2" s="659"/>
      <c r="Q2" s="659"/>
      <c r="R2" s="659"/>
      <c r="S2" s="659"/>
      <c r="T2" s="659"/>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30">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hidden="1">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hidden="1">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hidden="1">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hidden="1">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hidden="1">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hidden="1">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hidden="1">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hidden="1">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hidden="1">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hidden="1">
      <c r="B46" s="337"/>
      <c r="C46" s="467"/>
      <c r="D46" s="459"/>
      <c r="E46" s="325"/>
      <c r="F46" s="460"/>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hidden="1">
      <c r="B47" s="337"/>
      <c r="C47" s="467"/>
      <c r="D47" s="459"/>
      <c r="E47" s="325"/>
      <c r="F47" s="460"/>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hidden="1">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hidden="1">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hidden="1">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hidden="1">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hidden="1">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DzQJTkBhPHajejwOaSJXEHr+OojEA8aK3+HFz4pOpuQBGwzsY8+qZNDC6GPPq9q/u8PWMrfq41EB1H4jyfugrA==" saltValue="QNhDQPXl8pOQu/zRCNvqMA=="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663" t="s">
        <v>661</v>
      </c>
      <c r="C2" s="663"/>
      <c r="D2" s="663"/>
      <c r="E2" s="663"/>
      <c r="F2" s="663"/>
      <c r="G2" s="663"/>
      <c r="H2" s="663"/>
      <c r="I2" s="663"/>
      <c r="J2" s="663"/>
      <c r="K2" s="663"/>
    </row>
    <row r="3" spans="2:16" ht="22.95" customHeight="1">
      <c r="B3" s="664" t="s">
        <v>662</v>
      </c>
      <c r="C3" s="664"/>
      <c r="D3" s="664"/>
      <c r="E3" s="664"/>
      <c r="F3" s="664"/>
      <c r="G3" s="664"/>
      <c r="H3" s="664"/>
      <c r="I3" s="664"/>
      <c r="J3" s="664"/>
      <c r="K3" s="664"/>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30">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Lh+mAeV4RFryhOL990B3gBW0iC4oNsVyFC3Ai1y9QhaQ8qBiJc3eIizHeB2cstP92lI0VzY3GoTPZfxbDDFnfw==" saltValue="Xth4AagLETeDbh7dpRTls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673" t="s">
        <v>539</v>
      </c>
      <c r="C2" s="673"/>
      <c r="D2" s="673"/>
      <c r="E2" s="673"/>
      <c r="F2" s="673"/>
      <c r="G2" s="673"/>
      <c r="H2" s="673"/>
      <c r="I2" s="673"/>
      <c r="J2" s="673"/>
    </row>
    <row r="3" spans="2:10" ht="19.95" customHeight="1">
      <c r="B3" s="674" t="s">
        <v>540</v>
      </c>
      <c r="C3" s="674"/>
      <c r="D3" s="674"/>
      <c r="E3" s="674"/>
      <c r="F3" s="674"/>
      <c r="G3" s="674"/>
      <c r="H3" s="674"/>
      <c r="I3" s="674"/>
      <c r="J3" s="674"/>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plm++7Ex7c2m6fIRkRlWpeURctntGj5E0lNssNUS1yPQ69+pej9+I1NyvR5voVx5Z/6x/XQqe9oqeiu8+GRBxg==" saltValue="DOYTgjmCGhXusDsYxSKpb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673" t="s">
        <v>542</v>
      </c>
      <c r="C2" s="673"/>
      <c r="D2" s="673"/>
      <c r="E2" s="673"/>
      <c r="F2" s="673"/>
      <c r="G2" s="673"/>
      <c r="H2" s="673"/>
      <c r="I2" s="673"/>
      <c r="J2" s="673"/>
    </row>
    <row r="3" spans="2:10" ht="19.95" customHeight="1">
      <c r="B3" s="674" t="s">
        <v>543</v>
      </c>
      <c r="C3" s="674"/>
      <c r="D3" s="674"/>
      <c r="E3" s="674"/>
      <c r="F3" s="674"/>
      <c r="G3" s="674"/>
      <c r="H3" s="674"/>
      <c r="I3" s="674"/>
      <c r="J3" s="674"/>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sTtqjBhCnCWOhCYCR1PRs+4NjxEYXEyiXxS23OjESFkCJg9hVRYvONOLOw6IfOcGvbKPEKcQ7naHNF/XNXU1HA==" saltValue="g9G5Z1mrEWFQRcdkpo/zBw=="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22.81640625" style="320" customWidth="1"/>
    <col min="3" max="3" width="22.81640625" style="191" customWidth="1"/>
    <col min="4" max="6" width="22.81640625" style="320" customWidth="1"/>
    <col min="7" max="7" width="22.81640625" style="297" customWidth="1"/>
    <col min="8" max="8" width="22.6328125" style="320" customWidth="1"/>
    <col min="9" max="9" width="45.36328125" style="320" hidden="1" customWidth="1"/>
    <col min="10" max="10" width="17.81640625" style="320" hidden="1" customWidth="1"/>
    <col min="11" max="11" width="16.81640625" style="191" hidden="1" customWidth="1"/>
    <col min="12" max="20" width="15.81640625" style="191" hidden="1" customWidth="1"/>
    <col min="21" max="21" width="1.81640625" style="191" bestFit="1" customWidth="1"/>
    <col min="22" max="22" width="22.6328125" style="321" customWidth="1"/>
    <col min="23" max="26" width="22.6328125" style="320" customWidth="1"/>
    <col min="27" max="32" width="16.36328125" style="191" customWidth="1"/>
    <col min="33" max="33" width="16.36328125" style="191" hidden="1" customWidth="1"/>
    <col min="34" max="34" width="11.6328125" style="191" hidden="1" customWidth="1"/>
    <col min="35" max="36" width="22.6328125" style="191" hidden="1" customWidth="1"/>
    <col min="37" max="37" width="2.36328125" style="191" bestFit="1" customWidth="1"/>
    <col min="38" max="38" width="22.81640625" style="191" customWidth="1"/>
    <col min="39" max="39" width="5.453125" style="311" customWidth="1"/>
    <col min="40" max="41" width="22.6328125" style="191" customWidth="1"/>
    <col min="42" max="42" width="22.6328125" style="319" customWidth="1"/>
    <col min="43" max="45" width="11.453125" style="191"/>
    <col min="46" max="46" width="30" style="319" customWidth="1"/>
    <col min="47" max="47" width="20.1796875" style="319"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6" width="22.6328125" style="320" customWidth="1"/>
    <col min="7" max="7" width="22.6328125" style="297" customWidth="1"/>
    <col min="8" max="8" width="22.6328125" style="298" customWidth="1"/>
    <col min="9" max="9" width="22.6328125" style="320" customWidth="1"/>
    <col min="10" max="10" width="22.6328125" style="320" hidden="1" customWidth="1"/>
    <col min="11" max="18" width="22.6328125" style="191" hidden="1" customWidth="1"/>
    <col min="19" max="19" width="11.6328125" style="191" hidden="1" customWidth="1"/>
    <col min="20" max="20" width="21.36328125" style="191" customWidth="1"/>
    <col min="21" max="21" width="22.6328125" style="321" customWidth="1"/>
    <col min="22" max="25" width="22.6328125" style="320" customWidth="1"/>
    <col min="26" max="31" width="22.6328125" style="191" customWidth="1"/>
    <col min="32" max="35" width="22.6328125" style="191" hidden="1" customWidth="1"/>
    <col min="36" max="36" width="2.36328125" style="191" customWidth="1"/>
    <col min="37" max="37" width="22.81640625" style="191" customWidth="1"/>
    <col min="38" max="38" width="2.81640625" style="311" customWidth="1"/>
    <col min="39" max="41" width="22.81640625" style="294" customWidth="1"/>
    <col min="42" max="42" width="23.81640625" style="191" customWidth="1"/>
    <col min="43" max="43" width="30" style="319" customWidth="1"/>
    <col min="44" max="44" width="23.36328125" style="319" customWidth="1"/>
    <col min="45" max="45" width="18.6328125" style="19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680" t="s">
        <v>630</v>
      </c>
      <c r="C1" s="680"/>
      <c r="D1" s="680"/>
      <c r="E1" s="680"/>
      <c r="F1" s="680"/>
      <c r="G1" s="680"/>
      <c r="H1" s="680"/>
      <c r="I1" s="680"/>
      <c r="J1" s="680"/>
      <c r="K1" s="680"/>
      <c r="L1" s="680"/>
      <c r="M1" s="680"/>
      <c r="N1" s="680"/>
      <c r="P1" s="680" t="s">
        <v>626</v>
      </c>
      <c r="Q1" s="680"/>
      <c r="R1" s="680"/>
      <c r="S1" s="680"/>
      <c r="T1" s="680"/>
      <c r="U1" s="680"/>
      <c r="V1" s="680"/>
      <c r="W1" s="680"/>
      <c r="X1" s="680"/>
      <c r="Y1" s="680"/>
      <c r="Z1" s="680"/>
      <c r="AA1" s="680"/>
      <c r="AB1" s="680"/>
      <c r="AD1" s="680" t="s">
        <v>590</v>
      </c>
      <c r="AE1" s="680"/>
      <c r="AF1" s="680"/>
      <c r="AG1" s="680"/>
      <c r="AH1" s="680"/>
      <c r="AI1" s="680"/>
      <c r="AJ1" s="680"/>
      <c r="AK1" s="680"/>
      <c r="AL1" s="680"/>
      <c r="AM1" s="680"/>
      <c r="AN1" s="680"/>
      <c r="AO1" s="680"/>
      <c r="AP1" s="680"/>
      <c r="AR1" s="680" t="s">
        <v>530</v>
      </c>
      <c r="AS1" s="680"/>
      <c r="AT1" s="680"/>
      <c r="AU1" s="680"/>
      <c r="AV1" s="680"/>
      <c r="AW1" s="680"/>
      <c r="AX1" s="680"/>
      <c r="AY1" s="680"/>
      <c r="AZ1" s="680"/>
      <c r="BA1" s="680"/>
      <c r="BB1" s="680"/>
      <c r="BC1" s="680"/>
      <c r="BD1" s="680"/>
      <c r="BF1" s="680" t="s">
        <v>468</v>
      </c>
      <c r="BG1" s="680"/>
      <c r="BH1" s="680"/>
      <c r="BI1" s="680"/>
      <c r="BJ1" s="680"/>
      <c r="BK1" s="680"/>
      <c r="BL1" s="680"/>
      <c r="BM1" s="680"/>
      <c r="BN1" s="680"/>
      <c r="BO1" s="680"/>
      <c r="BP1" s="680"/>
      <c r="BQ1" s="680"/>
      <c r="BR1" s="680"/>
      <c r="BT1" s="680" t="s">
        <v>469</v>
      </c>
      <c r="BU1" s="680"/>
      <c r="BV1" s="680"/>
      <c r="BW1" s="680"/>
      <c r="BX1" s="680"/>
      <c r="BY1" s="680"/>
      <c r="BZ1" s="680"/>
      <c r="CA1" s="680"/>
      <c r="CB1" s="680"/>
      <c r="CC1" s="680"/>
      <c r="CD1" s="680"/>
      <c r="CE1" s="680"/>
      <c r="CF1" s="680"/>
      <c r="CH1" s="676" t="s">
        <v>470</v>
      </c>
      <c r="CI1" s="676"/>
      <c r="CJ1" s="676"/>
      <c r="CK1" s="676"/>
      <c r="CL1" s="676"/>
      <c r="CM1" s="676"/>
      <c r="CN1" s="676"/>
      <c r="CO1" s="676"/>
      <c r="CP1" s="676"/>
      <c r="CQ1" s="676"/>
      <c r="CR1" s="676"/>
      <c r="CS1" s="676"/>
      <c r="CT1" s="676"/>
      <c r="CV1" s="680" t="s">
        <v>471</v>
      </c>
      <c r="CW1" s="680"/>
      <c r="CX1" s="680"/>
      <c r="CY1" s="680"/>
      <c r="CZ1" s="680"/>
      <c r="DA1" s="680"/>
      <c r="DB1" s="680"/>
      <c r="DC1" s="680"/>
      <c r="DD1" s="680"/>
      <c r="DE1" s="680"/>
      <c r="DF1" s="680"/>
      <c r="DG1" s="680"/>
      <c r="DH1" s="680"/>
      <c r="DJ1" s="680" t="s">
        <v>472</v>
      </c>
      <c r="DK1" s="680"/>
      <c r="DL1" s="680"/>
      <c r="DM1" s="680"/>
      <c r="DN1" s="680"/>
      <c r="DO1" s="680"/>
      <c r="DP1" s="680"/>
      <c r="DQ1" s="680"/>
      <c r="DR1" s="680"/>
      <c r="DS1" s="680"/>
      <c r="DT1" s="680"/>
      <c r="DU1" s="680"/>
      <c r="DV1" s="680"/>
      <c r="DX1" s="680" t="s">
        <v>473</v>
      </c>
      <c r="DY1" s="680"/>
      <c r="DZ1" s="680"/>
      <c r="EA1" s="680"/>
      <c r="EB1" s="680"/>
      <c r="EC1" s="680"/>
      <c r="ED1" s="680"/>
      <c r="EE1" s="680"/>
      <c r="EF1" s="680"/>
      <c r="EG1" s="680"/>
      <c r="EH1" s="680"/>
      <c r="EI1" s="680"/>
      <c r="EJ1" s="680"/>
      <c r="EL1" s="680" t="s">
        <v>474</v>
      </c>
      <c r="EM1" s="680"/>
      <c r="EN1" s="680"/>
      <c r="EO1" s="680"/>
      <c r="EP1" s="680"/>
      <c r="EQ1" s="680"/>
      <c r="ER1" s="680"/>
      <c r="ES1" s="680"/>
      <c r="ET1" s="680"/>
      <c r="EU1" s="680"/>
      <c r="EV1" s="680"/>
      <c r="EW1" s="680"/>
      <c r="EX1" s="680"/>
      <c r="EZ1" s="680" t="s">
        <v>475</v>
      </c>
      <c r="FA1" s="680"/>
      <c r="FB1" s="680"/>
      <c r="FC1" s="680"/>
      <c r="FD1" s="680"/>
      <c r="FE1" s="680"/>
      <c r="FF1" s="680"/>
      <c r="FG1" s="680"/>
      <c r="FH1" s="680"/>
      <c r="FI1" s="680"/>
      <c r="FJ1" s="680"/>
      <c r="FK1" s="680"/>
      <c r="FL1" s="680"/>
      <c r="FN1" s="680" t="s">
        <v>476</v>
      </c>
      <c r="FO1" s="680"/>
      <c r="FP1" s="680"/>
      <c r="FQ1" s="680"/>
      <c r="FR1" s="680"/>
      <c r="FS1" s="680"/>
      <c r="FT1" s="680"/>
      <c r="FU1" s="680"/>
      <c r="FV1" s="680"/>
      <c r="FW1" s="680"/>
      <c r="FX1" s="680"/>
      <c r="FY1" s="680"/>
      <c r="FZ1" s="680"/>
      <c r="GB1" s="680" t="s">
        <v>477</v>
      </c>
      <c r="GC1" s="680"/>
      <c r="GD1" s="680"/>
      <c r="GE1" s="680"/>
      <c r="GF1" s="680"/>
      <c r="GG1" s="680"/>
      <c r="GH1" s="680"/>
      <c r="GI1" s="680"/>
      <c r="GJ1" s="680"/>
      <c r="GK1" s="680"/>
      <c r="GL1" s="680"/>
      <c r="GM1" s="680"/>
      <c r="GN1" s="680"/>
      <c r="GP1" s="680" t="s">
        <v>478</v>
      </c>
      <c r="GQ1" s="680"/>
      <c r="GR1" s="680"/>
      <c r="GS1" s="680"/>
      <c r="GT1" s="680"/>
      <c r="GU1" s="680"/>
      <c r="GV1" s="680"/>
      <c r="GW1" s="680"/>
      <c r="GX1" s="680"/>
      <c r="GY1" s="680"/>
      <c r="GZ1" s="680"/>
      <c r="HA1" s="680"/>
      <c r="HB1" s="680"/>
      <c r="HD1" s="680" t="s">
        <v>479</v>
      </c>
      <c r="HE1" s="680"/>
      <c r="HF1" s="680"/>
      <c r="HG1" s="680"/>
      <c r="HH1" s="680"/>
      <c r="HI1" s="680"/>
      <c r="HJ1" s="680"/>
      <c r="HK1" s="680"/>
      <c r="HL1" s="680"/>
      <c r="HM1" s="680"/>
      <c r="HN1" s="680"/>
      <c r="HO1" s="680"/>
      <c r="HP1" s="680"/>
      <c r="HR1" s="680" t="s">
        <v>480</v>
      </c>
      <c r="HS1" s="680"/>
      <c r="HT1" s="680"/>
      <c r="HU1" s="680"/>
      <c r="HV1" s="680"/>
      <c r="HW1" s="680"/>
      <c r="HX1" s="680"/>
      <c r="HY1" s="680"/>
      <c r="HZ1" s="680"/>
      <c r="IA1" s="680"/>
      <c r="IB1" s="680"/>
      <c r="IC1" s="680"/>
      <c r="ID1" s="680"/>
      <c r="IF1" s="680" t="s">
        <v>481</v>
      </c>
      <c r="IG1" s="680"/>
      <c r="IH1" s="680"/>
      <c r="II1" s="680"/>
      <c r="IJ1" s="680"/>
      <c r="IK1" s="680"/>
      <c r="IL1" s="680"/>
      <c r="IM1" s="680"/>
      <c r="IN1" s="680"/>
      <c r="IO1" s="680"/>
      <c r="IP1" s="680"/>
      <c r="IQ1" s="680"/>
      <c r="IR1" s="680"/>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680" t="s">
        <v>130</v>
      </c>
      <c r="C2" s="680"/>
      <c r="D2" s="680"/>
      <c r="E2" s="680"/>
      <c r="F2" s="680"/>
      <c r="G2" s="680"/>
      <c r="H2" s="680"/>
      <c r="I2" s="680"/>
      <c r="J2" s="680"/>
      <c r="K2" s="680"/>
      <c r="L2" s="680"/>
      <c r="M2" s="680"/>
      <c r="N2" s="680"/>
      <c r="O2" s="680"/>
      <c r="R2" s="680" t="s">
        <v>130</v>
      </c>
      <c r="S2" s="680"/>
      <c r="T2" s="680"/>
      <c r="U2" s="680"/>
      <c r="V2" s="680"/>
      <c r="W2" s="680"/>
      <c r="X2" s="680"/>
      <c r="Y2" s="680"/>
      <c r="Z2" s="680"/>
      <c r="AA2" s="680"/>
      <c r="AB2" s="680"/>
      <c r="AC2" s="680"/>
      <c r="AD2" s="680"/>
      <c r="AE2" s="680"/>
      <c r="AH2" s="680" t="s">
        <v>130</v>
      </c>
      <c r="AI2" s="680"/>
      <c r="AJ2" s="680"/>
      <c r="AK2" s="680"/>
      <c r="AL2" s="680"/>
      <c r="AM2" s="680"/>
      <c r="AN2" s="680"/>
      <c r="AO2" s="680"/>
      <c r="AP2" s="680"/>
      <c r="AQ2" s="680"/>
      <c r="AR2" s="680"/>
      <c r="AS2" s="680"/>
      <c r="AT2" s="680"/>
      <c r="AU2" s="680"/>
      <c r="AX2" s="680" t="s">
        <v>130</v>
      </c>
      <c r="AY2" s="680"/>
      <c r="AZ2" s="680"/>
      <c r="BA2" s="680"/>
      <c r="BB2" s="680"/>
      <c r="BC2" s="680"/>
      <c r="BD2" s="680"/>
      <c r="BE2" s="680"/>
      <c r="BF2" s="680"/>
      <c r="BG2" s="680"/>
      <c r="BH2" s="680"/>
      <c r="BI2" s="680"/>
      <c r="BJ2" s="680"/>
      <c r="BK2" s="680"/>
      <c r="BN2" s="680" t="s">
        <v>130</v>
      </c>
      <c r="BO2" s="680"/>
      <c r="BP2" s="680"/>
      <c r="BQ2" s="680"/>
      <c r="BR2" s="680"/>
      <c r="BS2" s="680"/>
      <c r="BT2" s="680"/>
      <c r="BU2" s="680"/>
      <c r="BV2" s="680"/>
      <c r="BW2" s="680"/>
      <c r="BX2" s="680"/>
      <c r="BY2" s="680"/>
      <c r="BZ2" s="680"/>
      <c r="CA2" s="680"/>
      <c r="CD2" s="680" t="s">
        <v>130</v>
      </c>
      <c r="CE2" s="680"/>
      <c r="CF2" s="680"/>
      <c r="CG2" s="680"/>
      <c r="CH2" s="680"/>
      <c r="CI2" s="680"/>
      <c r="CJ2" s="680"/>
      <c r="CK2" s="680"/>
      <c r="CL2" s="680"/>
      <c r="CM2" s="680"/>
      <c r="CN2" s="680"/>
      <c r="CO2" s="680"/>
      <c r="CP2" s="680"/>
      <c r="CQ2" s="680"/>
      <c r="CT2" s="680" t="s">
        <v>130</v>
      </c>
      <c r="CU2" s="680"/>
      <c r="CV2" s="680"/>
      <c r="CW2" s="680"/>
      <c r="CX2" s="680"/>
      <c r="CY2" s="680"/>
      <c r="CZ2" s="680"/>
      <c r="DA2" s="680"/>
      <c r="DB2" s="680"/>
      <c r="DC2" s="680"/>
      <c r="DD2" s="680"/>
      <c r="DE2" s="680"/>
      <c r="DF2" s="680"/>
      <c r="DG2" s="680"/>
      <c r="DJ2" s="680" t="s">
        <v>130</v>
      </c>
      <c r="DK2" s="680"/>
      <c r="DL2" s="680"/>
      <c r="DM2" s="680"/>
      <c r="DN2" s="680"/>
      <c r="DO2" s="680"/>
      <c r="DP2" s="680"/>
      <c r="DQ2" s="680"/>
      <c r="DR2" s="680"/>
      <c r="DS2" s="680"/>
      <c r="DT2" s="680"/>
      <c r="DU2" s="680"/>
      <c r="DV2" s="680"/>
      <c r="DW2" s="680"/>
      <c r="DZ2" s="680" t="s">
        <v>130</v>
      </c>
      <c r="EA2" s="680"/>
      <c r="EB2" s="680"/>
      <c r="EC2" s="680"/>
      <c r="ED2" s="680"/>
      <c r="EE2" s="680"/>
      <c r="EF2" s="680"/>
      <c r="EG2" s="680"/>
      <c r="EH2" s="680"/>
      <c r="EI2" s="680"/>
      <c r="EJ2" s="680"/>
      <c r="EK2" s="680"/>
      <c r="EL2" s="680"/>
      <c r="EM2" s="680"/>
      <c r="EP2" s="680" t="s">
        <v>130</v>
      </c>
      <c r="EQ2" s="680"/>
      <c r="ER2" s="680"/>
      <c r="ES2" s="680"/>
      <c r="ET2" s="680"/>
      <c r="EU2" s="680"/>
      <c r="EV2" s="680"/>
      <c r="EW2" s="680"/>
      <c r="EX2" s="680"/>
      <c r="EY2" s="680"/>
      <c r="EZ2" s="680"/>
      <c r="FA2" s="680"/>
      <c r="FB2" s="680"/>
      <c r="FC2" s="680"/>
      <c r="FF2" s="680" t="s">
        <v>130</v>
      </c>
      <c r="FG2" s="680"/>
      <c r="FH2" s="680"/>
      <c r="FI2" s="680"/>
      <c r="FJ2" s="680"/>
      <c r="FK2" s="680"/>
      <c r="FL2" s="680"/>
      <c r="FM2" s="680"/>
      <c r="FN2" s="680"/>
      <c r="FO2" s="680"/>
      <c r="FP2" s="680"/>
      <c r="FQ2" s="680"/>
      <c r="FR2" s="680"/>
      <c r="FS2" s="680"/>
      <c r="FV2" s="680" t="s">
        <v>130</v>
      </c>
      <c r="FW2" s="680"/>
      <c r="FX2" s="680"/>
      <c r="FY2" s="680"/>
      <c r="FZ2" s="680"/>
      <c r="GA2" s="680"/>
      <c r="GB2" s="680"/>
      <c r="GC2" s="680"/>
      <c r="GD2" s="680"/>
      <c r="GE2" s="680"/>
      <c r="GF2" s="680"/>
      <c r="GG2" s="680"/>
      <c r="GH2" s="680"/>
      <c r="GI2" s="680"/>
      <c r="GL2" s="680" t="s">
        <v>130</v>
      </c>
      <c r="GM2" s="680"/>
      <c r="GN2" s="680"/>
      <c r="GO2" s="680"/>
      <c r="GP2" s="680"/>
      <c r="GQ2" s="680"/>
      <c r="GR2" s="680"/>
      <c r="GS2" s="680"/>
      <c r="GT2" s="680"/>
      <c r="GU2" s="680"/>
      <c r="GV2" s="680"/>
      <c r="GW2" s="680"/>
      <c r="GX2" s="680"/>
      <c r="GY2" s="680"/>
      <c r="HB2" s="680" t="s">
        <v>130</v>
      </c>
      <c r="HC2" s="680"/>
      <c r="HD2" s="680"/>
      <c r="HE2" s="680"/>
      <c r="HF2" s="680"/>
      <c r="HG2" s="680"/>
      <c r="HH2" s="680"/>
      <c r="HI2" s="680"/>
      <c r="HJ2" s="680"/>
      <c r="HK2" s="680"/>
      <c r="HL2" s="680"/>
      <c r="HM2" s="680"/>
      <c r="HN2" s="680"/>
      <c r="HO2" s="680"/>
      <c r="HP2" s="380"/>
      <c r="HQ2" s="380"/>
      <c r="HR2" s="680" t="s">
        <v>130</v>
      </c>
      <c r="HS2" s="680"/>
      <c r="HT2" s="680"/>
      <c r="HU2" s="680"/>
      <c r="HV2" s="680"/>
      <c r="HW2" s="680"/>
      <c r="HX2" s="680"/>
      <c r="HY2" s="680"/>
      <c r="HZ2" s="680"/>
      <c r="IA2" s="680"/>
      <c r="IB2" s="680"/>
      <c r="IC2" s="680"/>
      <c r="ID2" s="680"/>
      <c r="IE2" s="680"/>
      <c r="IF2" s="380"/>
      <c r="IG2" s="380"/>
      <c r="IH2" s="680" t="s">
        <v>130</v>
      </c>
      <c r="II2" s="680"/>
      <c r="IJ2" s="680"/>
      <c r="IK2" s="680"/>
      <c r="IL2" s="680"/>
      <c r="IM2" s="680"/>
      <c r="IN2" s="680"/>
      <c r="IO2" s="680"/>
      <c r="IP2" s="680"/>
      <c r="IQ2" s="680"/>
      <c r="IR2" s="680"/>
      <c r="IS2" s="680"/>
      <c r="IT2" s="680"/>
      <c r="IU2" s="680"/>
      <c r="IV2" s="380"/>
      <c r="IW2" s="380"/>
      <c r="IX2" s="680" t="s">
        <v>130</v>
      </c>
      <c r="IY2" s="680"/>
      <c r="IZ2" s="680"/>
      <c r="JA2" s="680"/>
      <c r="JB2" s="680"/>
      <c r="JC2" s="680"/>
      <c r="JD2" s="680"/>
      <c r="JE2" s="680"/>
      <c r="JF2" s="680"/>
      <c r="JG2" s="680"/>
      <c r="JH2" s="680"/>
      <c r="JI2" s="680"/>
      <c r="JJ2" s="680"/>
      <c r="JK2" s="680"/>
      <c r="JL2" s="380"/>
      <c r="JM2" s="380"/>
      <c r="JN2" s="680" t="s">
        <v>130</v>
      </c>
      <c r="JO2" s="680"/>
      <c r="JP2" s="680"/>
      <c r="JQ2" s="680"/>
      <c r="JR2" s="680"/>
      <c r="JS2" s="680"/>
      <c r="JT2" s="680"/>
      <c r="JU2" s="680"/>
      <c r="JV2" s="680"/>
      <c r="JW2" s="680"/>
      <c r="JX2" s="680"/>
      <c r="JY2" s="680"/>
      <c r="JZ2" s="680"/>
      <c r="KA2" s="680"/>
      <c r="KB2" s="380"/>
      <c r="KC2" s="380"/>
      <c r="KD2" s="680" t="s">
        <v>130</v>
      </c>
      <c r="KE2" s="680"/>
      <c r="KF2" s="680"/>
      <c r="KG2" s="680"/>
      <c r="KH2" s="680"/>
      <c r="KI2" s="680"/>
      <c r="KJ2" s="680"/>
      <c r="KK2" s="680"/>
      <c r="KL2" s="680"/>
      <c r="KM2" s="680"/>
      <c r="KN2" s="680"/>
      <c r="KO2" s="680"/>
      <c r="KP2" s="680"/>
      <c r="KQ2" s="680"/>
      <c r="KR2" s="380"/>
      <c r="KS2" s="380"/>
      <c r="KT2" s="680" t="s">
        <v>130</v>
      </c>
      <c r="KU2" s="680"/>
      <c r="KV2" s="680"/>
      <c r="KW2" s="680"/>
      <c r="KX2" s="680"/>
      <c r="KY2" s="680"/>
      <c r="KZ2" s="680"/>
      <c r="LA2" s="680"/>
      <c r="LB2" s="680"/>
      <c r="LC2" s="680"/>
      <c r="LD2" s="680"/>
      <c r="LE2" s="680"/>
      <c r="LF2" s="680"/>
      <c r="LG2" s="680"/>
      <c r="LH2" s="380"/>
      <c r="LI2" s="380"/>
      <c r="LJ2" s="680" t="s">
        <v>130</v>
      </c>
      <c r="LK2" s="680"/>
      <c r="LL2" s="680"/>
      <c r="LM2" s="680"/>
      <c r="LN2" s="680"/>
      <c r="LO2" s="680"/>
      <c r="LP2" s="680"/>
      <c r="LQ2" s="680"/>
      <c r="LR2" s="680"/>
      <c r="LS2" s="680"/>
      <c r="LT2" s="680"/>
      <c r="LU2" s="680"/>
      <c r="LV2" s="680"/>
      <c r="LW2" s="680"/>
      <c r="LX2" s="380"/>
      <c r="LY2" s="380"/>
      <c r="LZ2" s="680" t="s">
        <v>130</v>
      </c>
      <c r="MA2" s="680"/>
      <c r="MB2" s="680"/>
      <c r="MC2" s="680"/>
      <c r="MD2" s="680"/>
      <c r="ME2" s="680"/>
      <c r="MF2" s="680"/>
      <c r="MG2" s="680"/>
      <c r="MH2" s="680"/>
      <c r="MI2" s="680"/>
      <c r="MJ2" s="680"/>
      <c r="MK2" s="680"/>
      <c r="ML2" s="680"/>
      <c r="MM2" s="680"/>
      <c r="MN2" s="380"/>
      <c r="MO2" s="380"/>
      <c r="MP2" s="680" t="s">
        <v>130</v>
      </c>
      <c r="MQ2" s="680"/>
      <c r="MR2" s="680"/>
      <c r="MS2" s="680"/>
      <c r="MT2" s="680"/>
      <c r="MU2" s="680"/>
      <c r="MV2" s="680"/>
      <c r="MW2" s="680"/>
      <c r="MX2" s="680"/>
      <c r="MY2" s="680"/>
      <c r="MZ2" s="680"/>
      <c r="NA2" s="680"/>
      <c r="NB2" s="680"/>
      <c r="NC2" s="680"/>
      <c r="ND2" s="380"/>
      <c r="NE2" s="380"/>
      <c r="NF2" s="680" t="s">
        <v>130</v>
      </c>
      <c r="NG2" s="680"/>
      <c r="NH2" s="680"/>
      <c r="NI2" s="680"/>
      <c r="NJ2" s="680"/>
      <c r="NK2" s="680"/>
      <c r="NL2" s="680"/>
      <c r="NM2" s="680"/>
      <c r="NN2" s="680"/>
      <c r="NO2" s="680"/>
      <c r="NP2" s="680"/>
      <c r="NQ2" s="680"/>
      <c r="NR2" s="680"/>
      <c r="NS2" s="680"/>
      <c r="NT2" s="380"/>
      <c r="NU2" s="380"/>
      <c r="NV2" s="680" t="s">
        <v>130</v>
      </c>
      <c r="NW2" s="680"/>
      <c r="NX2" s="680"/>
      <c r="NY2" s="680"/>
      <c r="NZ2" s="680"/>
      <c r="OA2" s="680"/>
      <c r="OB2" s="680"/>
      <c r="OC2" s="680"/>
      <c r="OD2" s="680"/>
      <c r="OE2" s="680"/>
      <c r="OF2" s="680"/>
      <c r="OG2" s="680"/>
      <c r="OH2" s="680"/>
      <c r="OI2" s="680"/>
      <c r="OJ2" s="380"/>
      <c r="OK2" s="380"/>
      <c r="OL2" s="680" t="s">
        <v>130</v>
      </c>
      <c r="OM2" s="680"/>
      <c r="ON2" s="680"/>
      <c r="OO2" s="680"/>
      <c r="OP2" s="680"/>
      <c r="OQ2" s="680"/>
      <c r="OR2" s="680"/>
      <c r="OS2" s="680"/>
      <c r="OT2" s="680"/>
      <c r="OU2" s="680"/>
      <c r="OV2" s="680"/>
      <c r="OW2" s="680"/>
      <c r="OX2" s="680"/>
      <c r="OY2" s="680"/>
      <c r="OZ2" s="380"/>
      <c r="PA2" s="380"/>
      <c r="PB2" s="680" t="s">
        <v>130</v>
      </c>
      <c r="PC2" s="680"/>
      <c r="PD2" s="680"/>
      <c r="PE2" s="680"/>
      <c r="PF2" s="680"/>
      <c r="PG2" s="680"/>
      <c r="PH2" s="680"/>
      <c r="PI2" s="680"/>
      <c r="PJ2" s="680"/>
      <c r="PK2" s="680"/>
      <c r="PL2" s="680"/>
      <c r="PM2" s="680"/>
      <c r="PN2" s="680"/>
      <c r="PO2" s="680"/>
      <c r="PP2" s="380"/>
      <c r="PQ2" s="380"/>
      <c r="PR2" s="680" t="s">
        <v>130</v>
      </c>
      <c r="PS2" s="680"/>
      <c r="PT2" s="680"/>
      <c r="PU2" s="680"/>
      <c r="PV2" s="680"/>
      <c r="PW2" s="680"/>
      <c r="PX2" s="680"/>
      <c r="PY2" s="680"/>
      <c r="PZ2" s="680"/>
      <c r="QA2" s="680"/>
      <c r="QB2" s="680"/>
      <c r="QC2" s="680"/>
      <c r="QD2" s="680"/>
      <c r="QE2" s="680"/>
      <c r="QF2" s="380"/>
      <c r="QG2" s="380"/>
      <c r="QH2" s="680" t="s">
        <v>130</v>
      </c>
      <c r="QI2" s="680"/>
      <c r="QJ2" s="680"/>
      <c r="QK2" s="680"/>
      <c r="QL2" s="680"/>
      <c r="QM2" s="680"/>
      <c r="QN2" s="680"/>
      <c r="QO2" s="680"/>
      <c r="QP2" s="680"/>
      <c r="QQ2" s="680"/>
      <c r="QR2" s="680"/>
      <c r="QS2" s="680"/>
      <c r="QT2" s="680"/>
      <c r="QU2" s="680"/>
      <c r="QV2" s="380"/>
      <c r="QW2" s="380"/>
      <c r="QX2" s="680" t="s">
        <v>130</v>
      </c>
      <c r="QY2" s="680"/>
      <c r="QZ2" s="680"/>
      <c r="RA2" s="680"/>
      <c r="RB2" s="680"/>
      <c r="RC2" s="680"/>
      <c r="RD2" s="680"/>
      <c r="RE2" s="680"/>
      <c r="RF2" s="680"/>
      <c r="RG2" s="680"/>
      <c r="RH2" s="680"/>
      <c r="RI2" s="680"/>
      <c r="RJ2" s="680"/>
      <c r="RK2" s="680"/>
      <c r="RL2" s="380"/>
      <c r="RM2" s="380"/>
      <c r="RN2" s="680" t="s">
        <v>130</v>
      </c>
      <c r="RO2" s="680"/>
      <c r="RP2" s="680"/>
      <c r="RQ2" s="680"/>
      <c r="RR2" s="680"/>
      <c r="RS2" s="680"/>
      <c r="RT2" s="680"/>
      <c r="RU2" s="680"/>
      <c r="RV2" s="680"/>
      <c r="RW2" s="680"/>
      <c r="RX2" s="680"/>
      <c r="RY2" s="680"/>
      <c r="RZ2" s="680"/>
      <c r="SA2" s="680"/>
      <c r="SB2" s="380"/>
      <c r="SC2" s="380"/>
      <c r="SD2" s="680" t="s">
        <v>130</v>
      </c>
      <c r="SE2" s="680"/>
      <c r="SF2" s="680"/>
      <c r="SG2" s="680"/>
      <c r="SH2" s="680"/>
      <c r="SI2" s="680"/>
      <c r="SJ2" s="680"/>
      <c r="SK2" s="680"/>
      <c r="SL2" s="680"/>
      <c r="SM2" s="680"/>
      <c r="SN2" s="680"/>
      <c r="SO2" s="680"/>
      <c r="SP2" s="680"/>
      <c r="SQ2" s="680"/>
      <c r="SR2" s="380"/>
      <c r="SS2" s="380"/>
      <c r="ST2" s="680" t="s">
        <v>130</v>
      </c>
      <c r="SU2" s="680"/>
      <c r="SV2" s="680"/>
      <c r="SW2" s="680"/>
      <c r="SX2" s="680"/>
      <c r="SY2" s="680"/>
      <c r="SZ2" s="680"/>
      <c r="TA2" s="680"/>
      <c r="TB2" s="680"/>
      <c r="TC2" s="680"/>
      <c r="TD2" s="680"/>
      <c r="TE2" s="680"/>
      <c r="TF2" s="680"/>
      <c r="TG2" s="680"/>
      <c r="TH2" s="380"/>
      <c r="TI2" s="380"/>
      <c r="TJ2" s="680" t="s">
        <v>130</v>
      </c>
      <c r="TK2" s="680"/>
      <c r="TL2" s="680"/>
      <c r="TM2" s="680"/>
      <c r="TN2" s="680"/>
      <c r="TO2" s="680"/>
      <c r="TP2" s="680"/>
      <c r="TQ2" s="680"/>
      <c r="TR2" s="680"/>
      <c r="TS2" s="680"/>
      <c r="TT2" s="680"/>
      <c r="TU2" s="680"/>
      <c r="TV2" s="680"/>
      <c r="TW2" s="680"/>
    </row>
    <row r="3" spans="2:543" ht="22.05" customHeight="1">
      <c r="B3" s="680" t="s">
        <v>625</v>
      </c>
      <c r="C3" s="680"/>
      <c r="D3" s="680"/>
      <c r="E3" s="680"/>
      <c r="F3" s="680"/>
      <c r="G3" s="680"/>
      <c r="H3" s="680"/>
      <c r="I3" s="680"/>
      <c r="J3" s="680"/>
      <c r="K3" s="680"/>
      <c r="L3" s="680"/>
      <c r="M3" s="680"/>
      <c r="N3" s="680"/>
      <c r="O3" s="680"/>
      <c r="R3" s="680" t="s">
        <v>624</v>
      </c>
      <c r="S3" s="680"/>
      <c r="T3" s="680"/>
      <c r="U3" s="680"/>
      <c r="V3" s="680"/>
      <c r="W3" s="680"/>
      <c r="X3" s="680"/>
      <c r="Y3" s="680"/>
      <c r="Z3" s="680"/>
      <c r="AA3" s="680"/>
      <c r="AB3" s="680"/>
      <c r="AC3" s="680"/>
      <c r="AD3" s="680"/>
      <c r="AE3" s="680"/>
      <c r="AH3" s="680" t="s">
        <v>589</v>
      </c>
      <c r="AI3" s="680"/>
      <c r="AJ3" s="680"/>
      <c r="AK3" s="680"/>
      <c r="AL3" s="680"/>
      <c r="AM3" s="680"/>
      <c r="AN3" s="680"/>
      <c r="AO3" s="680"/>
      <c r="AP3" s="680"/>
      <c r="AQ3" s="680"/>
      <c r="AR3" s="680"/>
      <c r="AS3" s="680"/>
      <c r="AT3" s="680"/>
      <c r="AU3" s="680"/>
      <c r="AX3" s="680" t="s">
        <v>508</v>
      </c>
      <c r="AY3" s="680"/>
      <c r="AZ3" s="680"/>
      <c r="BA3" s="680"/>
      <c r="BB3" s="680"/>
      <c r="BC3" s="680"/>
      <c r="BD3" s="680"/>
      <c r="BE3" s="680"/>
      <c r="BF3" s="680"/>
      <c r="BG3" s="680"/>
      <c r="BH3" s="680"/>
      <c r="BI3" s="680"/>
      <c r="BJ3" s="680"/>
      <c r="BK3" s="680"/>
      <c r="BN3" s="680" t="s">
        <v>232</v>
      </c>
      <c r="BO3" s="680"/>
      <c r="BP3" s="680"/>
      <c r="BQ3" s="680"/>
      <c r="BR3" s="680"/>
      <c r="BS3" s="680"/>
      <c r="BT3" s="680"/>
      <c r="BU3" s="680"/>
      <c r="BV3" s="680"/>
      <c r="BW3" s="680"/>
      <c r="BX3" s="680"/>
      <c r="BY3" s="680"/>
      <c r="BZ3" s="680"/>
      <c r="CA3" s="680"/>
      <c r="CD3" s="680" t="s">
        <v>181</v>
      </c>
      <c r="CE3" s="680"/>
      <c r="CF3" s="680"/>
      <c r="CG3" s="680"/>
      <c r="CH3" s="680"/>
      <c r="CI3" s="680"/>
      <c r="CJ3" s="680"/>
      <c r="CK3" s="680"/>
      <c r="CL3" s="680"/>
      <c r="CM3" s="680"/>
      <c r="CN3" s="680"/>
      <c r="CO3" s="680"/>
      <c r="CP3" s="680"/>
      <c r="CQ3" s="680"/>
      <c r="CT3" s="680" t="s">
        <v>131</v>
      </c>
      <c r="CU3" s="680"/>
      <c r="CV3" s="680"/>
      <c r="CW3" s="680"/>
      <c r="CX3" s="680"/>
      <c r="CY3" s="680"/>
      <c r="CZ3" s="680"/>
      <c r="DA3" s="680"/>
      <c r="DB3" s="680"/>
      <c r="DC3" s="680"/>
      <c r="DD3" s="680"/>
      <c r="DE3" s="680"/>
      <c r="DF3" s="680"/>
      <c r="DG3" s="680"/>
      <c r="DJ3" s="680" t="s">
        <v>132</v>
      </c>
      <c r="DK3" s="680"/>
      <c r="DL3" s="680"/>
      <c r="DM3" s="680"/>
      <c r="DN3" s="680"/>
      <c r="DO3" s="680"/>
      <c r="DP3" s="680"/>
      <c r="DQ3" s="680"/>
      <c r="DR3" s="680"/>
      <c r="DS3" s="680"/>
      <c r="DT3" s="680"/>
      <c r="DU3" s="680"/>
      <c r="DV3" s="680"/>
      <c r="DW3" s="680"/>
      <c r="DZ3" s="680" t="s">
        <v>133</v>
      </c>
      <c r="EA3" s="680"/>
      <c r="EB3" s="680"/>
      <c r="EC3" s="680"/>
      <c r="ED3" s="680"/>
      <c r="EE3" s="680"/>
      <c r="EF3" s="680"/>
      <c r="EG3" s="680"/>
      <c r="EH3" s="680"/>
      <c r="EI3" s="680"/>
      <c r="EJ3" s="680"/>
      <c r="EK3" s="680"/>
      <c r="EL3" s="680"/>
      <c r="EM3" s="680"/>
      <c r="EP3" s="680" t="s">
        <v>134</v>
      </c>
      <c r="EQ3" s="680"/>
      <c r="ER3" s="680"/>
      <c r="ES3" s="680"/>
      <c r="ET3" s="680"/>
      <c r="EU3" s="680"/>
      <c r="EV3" s="680"/>
      <c r="EW3" s="680"/>
      <c r="EX3" s="680"/>
      <c r="EY3" s="680"/>
      <c r="EZ3" s="680"/>
      <c r="FA3" s="680"/>
      <c r="FB3" s="680"/>
      <c r="FC3" s="680"/>
      <c r="FF3" s="680" t="s">
        <v>135</v>
      </c>
      <c r="FG3" s="680"/>
      <c r="FH3" s="680"/>
      <c r="FI3" s="680"/>
      <c r="FJ3" s="680"/>
      <c r="FK3" s="680"/>
      <c r="FL3" s="680"/>
      <c r="FM3" s="680"/>
      <c r="FN3" s="680"/>
      <c r="FO3" s="680"/>
      <c r="FP3" s="680"/>
      <c r="FQ3" s="680"/>
      <c r="FR3" s="680"/>
      <c r="FS3" s="680"/>
      <c r="FV3" s="680" t="s">
        <v>136</v>
      </c>
      <c r="FW3" s="680"/>
      <c r="FX3" s="680"/>
      <c r="FY3" s="680"/>
      <c r="FZ3" s="680"/>
      <c r="GA3" s="680"/>
      <c r="GB3" s="680"/>
      <c r="GC3" s="680"/>
      <c r="GD3" s="680"/>
      <c r="GE3" s="680"/>
      <c r="GF3" s="680"/>
      <c r="GG3" s="680"/>
      <c r="GH3" s="680"/>
      <c r="GI3" s="680"/>
      <c r="GL3" s="680" t="s">
        <v>137</v>
      </c>
      <c r="GM3" s="680"/>
      <c r="GN3" s="680"/>
      <c r="GO3" s="680"/>
      <c r="GP3" s="680"/>
      <c r="GQ3" s="680"/>
      <c r="GR3" s="680"/>
      <c r="GS3" s="680"/>
      <c r="GT3" s="680"/>
      <c r="GU3" s="680"/>
      <c r="GV3" s="680"/>
      <c r="GW3" s="680"/>
      <c r="GX3" s="680"/>
      <c r="GY3" s="680"/>
      <c r="HB3" s="680" t="s">
        <v>509</v>
      </c>
      <c r="HC3" s="680"/>
      <c r="HD3" s="680"/>
      <c r="HE3" s="680"/>
      <c r="HF3" s="680"/>
      <c r="HG3" s="680"/>
      <c r="HH3" s="680"/>
      <c r="HI3" s="680"/>
      <c r="HJ3" s="680"/>
      <c r="HK3" s="680"/>
      <c r="HL3" s="680"/>
      <c r="HM3" s="680"/>
      <c r="HN3" s="680"/>
      <c r="HO3" s="680"/>
      <c r="HP3" s="380"/>
      <c r="HQ3" s="380"/>
      <c r="HR3" s="680" t="s">
        <v>510</v>
      </c>
      <c r="HS3" s="680"/>
      <c r="HT3" s="680"/>
      <c r="HU3" s="680"/>
      <c r="HV3" s="680"/>
      <c r="HW3" s="680"/>
      <c r="HX3" s="680"/>
      <c r="HY3" s="680"/>
      <c r="HZ3" s="680"/>
      <c r="IA3" s="680"/>
      <c r="IB3" s="680"/>
      <c r="IC3" s="680"/>
      <c r="ID3" s="680"/>
      <c r="IE3" s="680"/>
      <c r="IF3" s="380"/>
      <c r="IG3" s="380"/>
      <c r="IH3" s="680" t="s">
        <v>511</v>
      </c>
      <c r="II3" s="680"/>
      <c r="IJ3" s="680"/>
      <c r="IK3" s="680"/>
      <c r="IL3" s="680"/>
      <c r="IM3" s="680"/>
      <c r="IN3" s="680"/>
      <c r="IO3" s="680"/>
      <c r="IP3" s="680"/>
      <c r="IQ3" s="680"/>
      <c r="IR3" s="680"/>
      <c r="IS3" s="680"/>
      <c r="IT3" s="680"/>
      <c r="IU3" s="680"/>
      <c r="IV3" s="380"/>
      <c r="IW3" s="380"/>
      <c r="IX3" s="680" t="s">
        <v>512</v>
      </c>
      <c r="IY3" s="680"/>
      <c r="IZ3" s="680"/>
      <c r="JA3" s="680"/>
      <c r="JB3" s="680"/>
      <c r="JC3" s="680"/>
      <c r="JD3" s="680"/>
      <c r="JE3" s="680"/>
      <c r="JF3" s="680"/>
      <c r="JG3" s="680"/>
      <c r="JH3" s="680"/>
      <c r="JI3" s="680"/>
      <c r="JJ3" s="680"/>
      <c r="JK3" s="680"/>
      <c r="JL3" s="380"/>
      <c r="JM3" s="380"/>
      <c r="JN3" s="680" t="s">
        <v>513</v>
      </c>
      <c r="JO3" s="680"/>
      <c r="JP3" s="680"/>
      <c r="JQ3" s="680"/>
      <c r="JR3" s="680"/>
      <c r="JS3" s="680"/>
      <c r="JT3" s="680"/>
      <c r="JU3" s="680"/>
      <c r="JV3" s="680"/>
      <c r="JW3" s="680"/>
      <c r="JX3" s="680"/>
      <c r="JY3" s="680"/>
      <c r="JZ3" s="680"/>
      <c r="KA3" s="680"/>
      <c r="KB3" s="380"/>
      <c r="KC3" s="380"/>
      <c r="KD3" s="680" t="s">
        <v>514</v>
      </c>
      <c r="KE3" s="680"/>
      <c r="KF3" s="680"/>
      <c r="KG3" s="680"/>
      <c r="KH3" s="680"/>
      <c r="KI3" s="680"/>
      <c r="KJ3" s="680"/>
      <c r="KK3" s="680"/>
      <c r="KL3" s="680"/>
      <c r="KM3" s="680"/>
      <c r="KN3" s="680"/>
      <c r="KO3" s="680"/>
      <c r="KP3" s="680"/>
      <c r="KQ3" s="680"/>
      <c r="KR3" s="380"/>
      <c r="KS3" s="380"/>
      <c r="KT3" s="680" t="s">
        <v>515</v>
      </c>
      <c r="KU3" s="680"/>
      <c r="KV3" s="680"/>
      <c r="KW3" s="680"/>
      <c r="KX3" s="680"/>
      <c r="KY3" s="680"/>
      <c r="KZ3" s="680"/>
      <c r="LA3" s="680"/>
      <c r="LB3" s="680"/>
      <c r="LC3" s="680"/>
      <c r="LD3" s="680"/>
      <c r="LE3" s="680"/>
      <c r="LF3" s="680"/>
      <c r="LG3" s="680"/>
      <c r="LH3" s="380"/>
      <c r="LI3" s="380"/>
      <c r="LJ3" s="680" t="s">
        <v>516</v>
      </c>
      <c r="LK3" s="680"/>
      <c r="LL3" s="680"/>
      <c r="LM3" s="680"/>
      <c r="LN3" s="680"/>
      <c r="LO3" s="680"/>
      <c r="LP3" s="680"/>
      <c r="LQ3" s="680"/>
      <c r="LR3" s="680"/>
      <c r="LS3" s="680"/>
      <c r="LT3" s="680"/>
      <c r="LU3" s="680"/>
      <c r="LV3" s="680"/>
      <c r="LW3" s="680"/>
      <c r="LX3" s="380"/>
      <c r="LY3" s="380"/>
      <c r="LZ3" s="680" t="s">
        <v>517</v>
      </c>
      <c r="MA3" s="680"/>
      <c r="MB3" s="680"/>
      <c r="MC3" s="680"/>
      <c r="MD3" s="680"/>
      <c r="ME3" s="680"/>
      <c r="MF3" s="680"/>
      <c r="MG3" s="680"/>
      <c r="MH3" s="680"/>
      <c r="MI3" s="680"/>
      <c r="MJ3" s="680"/>
      <c r="MK3" s="680"/>
      <c r="ML3" s="680"/>
      <c r="MM3" s="680"/>
      <c r="MN3" s="380"/>
      <c r="MO3" s="380"/>
      <c r="MP3" s="680" t="s">
        <v>518</v>
      </c>
      <c r="MQ3" s="680"/>
      <c r="MR3" s="680"/>
      <c r="MS3" s="680"/>
      <c r="MT3" s="680"/>
      <c r="MU3" s="680"/>
      <c r="MV3" s="680"/>
      <c r="MW3" s="680"/>
      <c r="MX3" s="680"/>
      <c r="MY3" s="680"/>
      <c r="MZ3" s="680"/>
      <c r="NA3" s="680"/>
      <c r="NB3" s="680"/>
      <c r="NC3" s="680"/>
      <c r="ND3" s="380"/>
      <c r="NE3" s="380"/>
      <c r="NF3" s="680" t="s">
        <v>519</v>
      </c>
      <c r="NG3" s="680"/>
      <c r="NH3" s="680"/>
      <c r="NI3" s="680"/>
      <c r="NJ3" s="680"/>
      <c r="NK3" s="680"/>
      <c r="NL3" s="680"/>
      <c r="NM3" s="680"/>
      <c r="NN3" s="680"/>
      <c r="NO3" s="680"/>
      <c r="NP3" s="680"/>
      <c r="NQ3" s="680"/>
      <c r="NR3" s="680"/>
      <c r="NS3" s="680"/>
      <c r="NT3" s="380"/>
      <c r="NU3" s="380"/>
      <c r="NV3" s="680" t="s">
        <v>520</v>
      </c>
      <c r="NW3" s="680"/>
      <c r="NX3" s="680"/>
      <c r="NY3" s="680"/>
      <c r="NZ3" s="680"/>
      <c r="OA3" s="680"/>
      <c r="OB3" s="680"/>
      <c r="OC3" s="680"/>
      <c r="OD3" s="680"/>
      <c r="OE3" s="680"/>
      <c r="OF3" s="680"/>
      <c r="OG3" s="680"/>
      <c r="OH3" s="680"/>
      <c r="OI3" s="680"/>
      <c r="OJ3" s="380"/>
      <c r="OK3" s="380"/>
      <c r="OL3" s="680" t="s">
        <v>521</v>
      </c>
      <c r="OM3" s="680"/>
      <c r="ON3" s="680"/>
      <c r="OO3" s="680"/>
      <c r="OP3" s="680"/>
      <c r="OQ3" s="680"/>
      <c r="OR3" s="680"/>
      <c r="OS3" s="680"/>
      <c r="OT3" s="680"/>
      <c r="OU3" s="680"/>
      <c r="OV3" s="680"/>
      <c r="OW3" s="680"/>
      <c r="OX3" s="680"/>
      <c r="OY3" s="680"/>
      <c r="OZ3" s="380"/>
      <c r="PA3" s="380"/>
      <c r="PB3" s="680" t="s">
        <v>522</v>
      </c>
      <c r="PC3" s="680"/>
      <c r="PD3" s="680"/>
      <c r="PE3" s="680"/>
      <c r="PF3" s="680"/>
      <c r="PG3" s="680"/>
      <c r="PH3" s="680"/>
      <c r="PI3" s="680"/>
      <c r="PJ3" s="680"/>
      <c r="PK3" s="680"/>
      <c r="PL3" s="680"/>
      <c r="PM3" s="680"/>
      <c r="PN3" s="680"/>
      <c r="PO3" s="680"/>
      <c r="PP3" s="380"/>
      <c r="PQ3" s="380"/>
      <c r="PR3" s="680" t="s">
        <v>523</v>
      </c>
      <c r="PS3" s="680"/>
      <c r="PT3" s="680"/>
      <c r="PU3" s="680"/>
      <c r="PV3" s="680"/>
      <c r="PW3" s="680"/>
      <c r="PX3" s="680"/>
      <c r="PY3" s="680"/>
      <c r="PZ3" s="680"/>
      <c r="QA3" s="680"/>
      <c r="QB3" s="680"/>
      <c r="QC3" s="680"/>
      <c r="QD3" s="680"/>
      <c r="QE3" s="680"/>
      <c r="QF3" s="380"/>
      <c r="QG3" s="380"/>
      <c r="QH3" s="680" t="s">
        <v>524</v>
      </c>
      <c r="QI3" s="680"/>
      <c r="QJ3" s="680"/>
      <c r="QK3" s="680"/>
      <c r="QL3" s="680"/>
      <c r="QM3" s="680"/>
      <c r="QN3" s="680"/>
      <c r="QO3" s="680"/>
      <c r="QP3" s="680"/>
      <c r="QQ3" s="680"/>
      <c r="QR3" s="680"/>
      <c r="QS3" s="680"/>
      <c r="QT3" s="680"/>
      <c r="QU3" s="680"/>
      <c r="QV3" s="380"/>
      <c r="QW3" s="380"/>
      <c r="QX3" s="680" t="s">
        <v>525</v>
      </c>
      <c r="QY3" s="680"/>
      <c r="QZ3" s="680"/>
      <c r="RA3" s="680"/>
      <c r="RB3" s="680"/>
      <c r="RC3" s="680"/>
      <c r="RD3" s="680"/>
      <c r="RE3" s="680"/>
      <c r="RF3" s="680"/>
      <c r="RG3" s="680"/>
      <c r="RH3" s="680"/>
      <c r="RI3" s="680"/>
      <c r="RJ3" s="680"/>
      <c r="RK3" s="680"/>
      <c r="RL3" s="380"/>
      <c r="RM3" s="380"/>
      <c r="RN3" s="680" t="s">
        <v>526</v>
      </c>
      <c r="RO3" s="680"/>
      <c r="RP3" s="680"/>
      <c r="RQ3" s="680"/>
      <c r="RR3" s="680"/>
      <c r="RS3" s="680"/>
      <c r="RT3" s="680"/>
      <c r="RU3" s="680"/>
      <c r="RV3" s="680"/>
      <c r="RW3" s="680"/>
      <c r="RX3" s="680"/>
      <c r="RY3" s="680"/>
      <c r="RZ3" s="680"/>
      <c r="SA3" s="680"/>
      <c r="SB3" s="380"/>
      <c r="SC3" s="380"/>
      <c r="SD3" s="680" t="s">
        <v>527</v>
      </c>
      <c r="SE3" s="680"/>
      <c r="SF3" s="680"/>
      <c r="SG3" s="680"/>
      <c r="SH3" s="680"/>
      <c r="SI3" s="680"/>
      <c r="SJ3" s="680"/>
      <c r="SK3" s="680"/>
      <c r="SL3" s="680"/>
      <c r="SM3" s="680"/>
      <c r="SN3" s="680"/>
      <c r="SO3" s="680"/>
      <c r="SP3" s="680"/>
      <c r="SQ3" s="680"/>
      <c r="SR3" s="380"/>
      <c r="SS3" s="380"/>
      <c r="ST3" s="680" t="s">
        <v>528</v>
      </c>
      <c r="SU3" s="680"/>
      <c r="SV3" s="680"/>
      <c r="SW3" s="680"/>
      <c r="SX3" s="680"/>
      <c r="SY3" s="680"/>
      <c r="SZ3" s="680"/>
      <c r="TA3" s="680"/>
      <c r="TB3" s="680"/>
      <c r="TC3" s="680"/>
      <c r="TD3" s="680"/>
      <c r="TE3" s="680"/>
      <c r="TF3" s="680"/>
      <c r="TG3" s="680"/>
      <c r="TH3" s="380"/>
      <c r="TI3" s="380"/>
      <c r="TJ3" s="680" t="s">
        <v>529</v>
      </c>
      <c r="TK3" s="680"/>
      <c r="TL3" s="680"/>
      <c r="TM3" s="680"/>
      <c r="TN3" s="680"/>
      <c r="TO3" s="680"/>
      <c r="TP3" s="680"/>
      <c r="TQ3" s="680"/>
      <c r="TR3" s="680"/>
      <c r="TS3" s="680"/>
      <c r="TT3" s="680"/>
      <c r="TU3" s="680"/>
      <c r="TV3" s="680"/>
      <c r="TW3" s="680"/>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676" t="s">
        <v>151</v>
      </c>
      <c r="C2" s="676"/>
      <c r="D2" s="676"/>
      <c r="E2" s="676"/>
      <c r="F2" s="676"/>
      <c r="G2" s="676"/>
      <c r="H2" s="676"/>
      <c r="I2" s="676"/>
      <c r="J2" s="676"/>
      <c r="K2" s="676"/>
      <c r="L2" s="676"/>
      <c r="M2" s="676"/>
      <c r="N2" s="676"/>
      <c r="O2" s="676"/>
      <c r="P2" s="676"/>
    </row>
    <row r="3" spans="2:16" ht="22.95" customHeight="1">
      <c r="B3" s="676" t="s">
        <v>492</v>
      </c>
      <c r="C3" s="676"/>
      <c r="D3" s="676"/>
      <c r="E3" s="676"/>
      <c r="F3" s="676"/>
      <c r="G3" s="676"/>
      <c r="H3" s="676"/>
      <c r="I3" s="676"/>
      <c r="J3" s="676"/>
      <c r="K3" s="676"/>
      <c r="L3" s="676"/>
      <c r="M3" s="676"/>
      <c r="N3" s="676"/>
      <c r="O3" s="676"/>
      <c r="P3" s="676"/>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2023-01-25T04:36:41Z</dcterms:modified>
</cp:coreProperties>
</file>